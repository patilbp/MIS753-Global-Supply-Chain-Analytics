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nun\OneDrive\Documents\Grad School\MIS753\"/>
    </mc:Choice>
  </mc:AlternateContent>
  <xr:revisionPtr revIDLastSave="0" documentId="13_ncr:1_{EE519EA4-C42D-4E34-AB2D-FD8D570596F4}" xr6:coauthVersionLast="47" xr6:coauthVersionMax="47" xr10:uidLastSave="{00000000-0000-0000-0000-000000000000}"/>
  <bookViews>
    <workbookView xWindow="28680" yWindow="-120" windowWidth="29040" windowHeight="15840" xr2:uid="{CB5C58FB-C133-4845-A9D6-2021B8CDB6FA}"/>
  </bookViews>
  <sheets>
    <sheet name="Sheet1" sheetId="1" r:id="rId1"/>
  </sheets>
  <definedNames>
    <definedName name="OpenSolver_ChosenSolver" localSheetId="0" hidden="1">CBC</definedName>
    <definedName name="OpenSolver_DualsNewSheet" localSheetId="0" hidden="1">0</definedName>
    <definedName name="OpenSolver_LinearityCheck" localSheetId="0" hidden="1">1</definedName>
    <definedName name="OpenSolverModelParameters" localSheetId="0" hidden="1">Sheet1!$B$23:$AX$28,Sheet1!$B$33:$G$37,Sheet1!$O$34:$S$34</definedName>
    <definedName name="solver_adj" localSheetId="0" hidden="1">Sheet1!$B$23:$AX$28,Sheet1!$B$33:$G$37,Sheet1!$O$34:$S$34</definedName>
    <definedName name="solver_cvg" localSheetId="0" hidden="1">0.0001</definedName>
    <definedName name="solver_drv" localSheetId="0" hidden="1">1</definedName>
    <definedName name="solver_eng" localSheetId="0" hidden="1">3</definedName>
    <definedName name="solver_est" localSheetId="0" hidden="1">1</definedName>
    <definedName name="solver_itr" localSheetId="0" hidden="1">2147483647</definedName>
    <definedName name="solver_lhs1" localSheetId="0" hidden="1">Sheet1!$AY$23:$AY$28</definedName>
    <definedName name="solver_lhs10" localSheetId="0" hidden="1">Sheet1!$AE$29</definedName>
    <definedName name="solver_lhs100" localSheetId="0" hidden="1">Sheet1!$U$23:$U$28</definedName>
    <definedName name="solver_lhs101" localSheetId="0" hidden="1">Sheet1!$U$29</definedName>
    <definedName name="solver_lhs102" localSheetId="0" hidden="1">Sheet1!$V$23:$V$28</definedName>
    <definedName name="solver_lhs103" localSheetId="0" hidden="1">Sheet1!$V$29</definedName>
    <definedName name="solver_lhs104" localSheetId="0" hidden="1">Sheet1!$W$23:$W$28</definedName>
    <definedName name="solver_lhs105" localSheetId="0" hidden="1">Sheet1!$W$29</definedName>
    <definedName name="solver_lhs106" localSheetId="0" hidden="1">Sheet1!$X$23:$X$28</definedName>
    <definedName name="solver_lhs107" localSheetId="0" hidden="1">Sheet1!$Y$23:$Y$28</definedName>
    <definedName name="solver_lhs108" localSheetId="0" hidden="1">Sheet1!$Y$29</definedName>
    <definedName name="solver_lhs109" localSheetId="0" hidden="1">Sheet1!$Z$23:$Z$28</definedName>
    <definedName name="solver_lhs11" localSheetId="0" hidden="1">Sheet1!$AF$23:$AF$28</definedName>
    <definedName name="solver_lhs110" localSheetId="0" hidden="1">Sheet1!$Z$29</definedName>
    <definedName name="solver_lhs12" localSheetId="0" hidden="1">Sheet1!$AF$29</definedName>
    <definedName name="solver_lhs13" localSheetId="0" hidden="1">Sheet1!$AG$23:$AG$28</definedName>
    <definedName name="solver_lhs14" localSheetId="0" hidden="1">Sheet1!$AG$29</definedName>
    <definedName name="solver_lhs15" localSheetId="0" hidden="1">Sheet1!$AH$23:$AH$28</definedName>
    <definedName name="solver_lhs16" localSheetId="0" hidden="1">Sheet1!$AH$29</definedName>
    <definedName name="solver_lhs17" localSheetId="0" hidden="1">Sheet1!$AI$23:$AI$28</definedName>
    <definedName name="solver_lhs18" localSheetId="0" hidden="1">Sheet1!$AI$29</definedName>
    <definedName name="solver_lhs19" localSheetId="0" hidden="1">Sheet1!$AJ$23:$AJ$28</definedName>
    <definedName name="solver_lhs2" localSheetId="0" hidden="1">Sheet1!$B$23:$AX$28</definedName>
    <definedName name="solver_lhs20" localSheetId="0" hidden="1">Sheet1!$AJ$29</definedName>
    <definedName name="solver_lhs21" localSheetId="0" hidden="1">Sheet1!$AK$23:$AK$28</definedName>
    <definedName name="solver_lhs22" localSheetId="0" hidden="1">Sheet1!$AK$29</definedName>
    <definedName name="solver_lhs23" localSheetId="0" hidden="1">Sheet1!$AL$23:$AL$28</definedName>
    <definedName name="solver_lhs24" localSheetId="0" hidden="1">Sheet1!$AL$29</definedName>
    <definedName name="solver_lhs25" localSheetId="0" hidden="1">Sheet1!$AM$23:$AM$28</definedName>
    <definedName name="solver_lhs26" localSheetId="0" hidden="1">Sheet1!$AM$29</definedName>
    <definedName name="solver_lhs27" localSheetId="0" hidden="1">Sheet1!$AN$23:$AN$28</definedName>
    <definedName name="solver_lhs28" localSheetId="0" hidden="1">Sheet1!$AN$29</definedName>
    <definedName name="solver_lhs29" localSheetId="0" hidden="1">Sheet1!$AO$23:$AO$28</definedName>
    <definedName name="solver_lhs3" localSheetId="0" hidden="1">Sheet1!$B$29:$AX$29</definedName>
    <definedName name="solver_lhs30" localSheetId="0" hidden="1">Sheet1!$AO$29</definedName>
    <definedName name="solver_lhs31" localSheetId="0" hidden="1">Sheet1!$AP$23:$AP$28</definedName>
    <definedName name="solver_lhs32" localSheetId="0" hidden="1">Sheet1!$AP$29</definedName>
    <definedName name="solver_lhs33" localSheetId="0" hidden="1">Sheet1!$AQ$23:$AQ$28</definedName>
    <definedName name="solver_lhs34" localSheetId="0" hidden="1">Sheet1!$AQ$29</definedName>
    <definedName name="solver_lhs35" localSheetId="0" hidden="1">Sheet1!$AR$23:$AR$28</definedName>
    <definedName name="solver_lhs36" localSheetId="0" hidden="1">Sheet1!$AR$29</definedName>
    <definedName name="solver_lhs37" localSheetId="0" hidden="1">Sheet1!$AS$23:$AS$28</definedName>
    <definedName name="solver_lhs38" localSheetId="0" hidden="1">Sheet1!$AS$29</definedName>
    <definedName name="solver_lhs39" localSheetId="0" hidden="1">Sheet1!$AT$23:$AT$28</definedName>
    <definedName name="solver_lhs4" localSheetId="0" hidden="1">Sheet1!$B$33:$G$37</definedName>
    <definedName name="solver_lhs40" localSheetId="0" hidden="1">Sheet1!$AT$29</definedName>
    <definedName name="solver_lhs41" localSheetId="0" hidden="1">Sheet1!$AU$23:$AU$28</definedName>
    <definedName name="solver_lhs42" localSheetId="0" hidden="1">Sheet1!$AU$29</definedName>
    <definedName name="solver_lhs43" localSheetId="0" hidden="1">Sheet1!$AV$23:$AV$28</definedName>
    <definedName name="solver_lhs44" localSheetId="0" hidden="1">Sheet1!$AV$29</definedName>
    <definedName name="solver_lhs45" localSheetId="0" hidden="1">Sheet1!$AW$23:$AW$28</definedName>
    <definedName name="solver_lhs46" localSheetId="0" hidden="1">Sheet1!$AW$29</definedName>
    <definedName name="solver_lhs47" localSheetId="0" hidden="1">Sheet1!$AX$23:$AX$28</definedName>
    <definedName name="solver_lhs48" localSheetId="0" hidden="1">Sheet1!$AX$29</definedName>
    <definedName name="solver_lhs49" localSheetId="0" hidden="1">Sheet1!$B$23:$AX$28</definedName>
    <definedName name="solver_lhs5" localSheetId="0" hidden="1">Sheet1!$B$38:$G$38</definedName>
    <definedName name="solver_lhs50" localSheetId="0" hidden="1">Sheet1!$B$23:$B$28</definedName>
    <definedName name="solver_lhs51" localSheetId="0" hidden="1">Sheet1!$B$29</definedName>
    <definedName name="solver_lhs52" localSheetId="0" hidden="1">Sheet1!$B$33:$B$37</definedName>
    <definedName name="solver_lhs53" localSheetId="0" hidden="1">Sheet1!$B$38:$G$38</definedName>
    <definedName name="solver_lhs54" localSheetId="0" hidden="1">Sheet1!#REF!</definedName>
    <definedName name="solver_lhs55" localSheetId="0" hidden="1">Sheet1!$C$23:$C$28</definedName>
    <definedName name="solver_lhs56" localSheetId="0" hidden="1">Sheet1!$C$29</definedName>
    <definedName name="solver_lhs57" localSheetId="0" hidden="1">Sheet1!$C$33:$C$37</definedName>
    <definedName name="solver_lhs58" localSheetId="0" hidden="1">Sheet1!#REF!</definedName>
    <definedName name="solver_lhs59" localSheetId="0" hidden="1">Sheet1!$D$23:$D$28</definedName>
    <definedName name="solver_lhs6" localSheetId="0" hidden="1">Sheet1!$H$33:$H$37</definedName>
    <definedName name="solver_lhs60" localSheetId="0" hidden="1">Sheet1!$D$29</definedName>
    <definedName name="solver_lhs61" localSheetId="0" hidden="1">Sheet1!$D$33:$D$37</definedName>
    <definedName name="solver_lhs62" localSheetId="0" hidden="1">Sheet1!#REF!</definedName>
    <definedName name="solver_lhs63" localSheetId="0" hidden="1">Sheet1!$E$23:$E$28</definedName>
    <definedName name="solver_lhs64" localSheetId="0" hidden="1">Sheet1!$E$29</definedName>
    <definedName name="solver_lhs65" localSheetId="0" hidden="1">Sheet1!$E$33:$E$37</definedName>
    <definedName name="solver_lhs66" localSheetId="0" hidden="1">Sheet1!#REF!</definedName>
    <definedName name="solver_lhs67" localSheetId="0" hidden="1">Sheet1!$F$23:$F$28</definedName>
    <definedName name="solver_lhs68" localSheetId="0" hidden="1">Sheet1!$F$29</definedName>
    <definedName name="solver_lhs69" localSheetId="0" hidden="1">Sheet1!$F$33:$F$37</definedName>
    <definedName name="solver_lhs7" localSheetId="0" hidden="1">Sheet1!$O$34:$S$34</definedName>
    <definedName name="solver_lhs70" localSheetId="0" hidden="1">Sheet1!#REF!</definedName>
    <definedName name="solver_lhs71" localSheetId="0" hidden="1">Sheet1!$G$23:$G$28</definedName>
    <definedName name="solver_lhs72" localSheetId="0" hidden="1">Sheet1!$G$29</definedName>
    <definedName name="solver_lhs73" localSheetId="0" hidden="1">Sheet1!$G$33:$G$37</definedName>
    <definedName name="solver_lhs74" localSheetId="0" hidden="1">Sheet1!$H$23:$H$28</definedName>
    <definedName name="solver_lhs75" localSheetId="0" hidden="1">Sheet1!$H$29</definedName>
    <definedName name="solver_lhs76" localSheetId="0" hidden="1">Sheet1!$I$23:$I$28</definedName>
    <definedName name="solver_lhs77" localSheetId="0" hidden="1">Sheet1!$I$29</definedName>
    <definedName name="solver_lhs78" localSheetId="0" hidden="1">Sheet1!$J$23:$J$28</definedName>
    <definedName name="solver_lhs79" localSheetId="0" hidden="1">Sheet1!$J$29</definedName>
    <definedName name="solver_lhs8" localSheetId="0" hidden="1">Sheet1!$O$34:$S$34</definedName>
    <definedName name="solver_lhs80" localSheetId="0" hidden="1">Sheet1!$K$23:$K$28</definedName>
    <definedName name="solver_lhs81" localSheetId="0" hidden="1">Sheet1!$K$29</definedName>
    <definedName name="solver_lhs82" localSheetId="0" hidden="1">Sheet1!$L$23:$L$28</definedName>
    <definedName name="solver_lhs83" localSheetId="0" hidden="1">Sheet1!$L$29</definedName>
    <definedName name="solver_lhs84" localSheetId="0" hidden="1">Sheet1!$M$23:$M$28</definedName>
    <definedName name="solver_lhs85" localSheetId="0" hidden="1">Sheet1!$M$29</definedName>
    <definedName name="solver_lhs86" localSheetId="0" hidden="1">Sheet1!$N$23:$N$28</definedName>
    <definedName name="solver_lhs87" localSheetId="0" hidden="1">Sheet1!$N$29</definedName>
    <definedName name="solver_lhs88" localSheetId="0" hidden="1">Sheet1!$O$23:$O$28</definedName>
    <definedName name="solver_lhs89" localSheetId="0" hidden="1">Sheet1!$O$29</definedName>
    <definedName name="solver_lhs9" localSheetId="0" hidden="1">Sheet1!$T$34</definedName>
    <definedName name="solver_lhs90" localSheetId="0" hidden="1">Sheet1!$P$23:$P$28</definedName>
    <definedName name="solver_lhs91" localSheetId="0" hidden="1">Sheet1!$P$29</definedName>
    <definedName name="solver_lhs92" localSheetId="0" hidden="1">Sheet1!$Q$23:$Q$28</definedName>
    <definedName name="solver_lhs93" localSheetId="0" hidden="1">Sheet1!$Q$29</definedName>
    <definedName name="solver_lhs94" localSheetId="0" hidden="1">Sheet1!$R$23:$R$28</definedName>
    <definedName name="solver_lhs95" localSheetId="0" hidden="1">Sheet1!$R$29</definedName>
    <definedName name="solver_lhs96" localSheetId="0" hidden="1">Sheet1!$S$23:$S$28</definedName>
    <definedName name="solver_lhs97" localSheetId="0" hidden="1">Sheet1!$S$29</definedName>
    <definedName name="solver_lhs98" localSheetId="0" hidden="1">Sheet1!$T$23:$T$28</definedName>
    <definedName name="solver_lhs99" localSheetId="0" hidden="1">Sheet1!$T$29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9</definedName>
    <definedName name="solver_nwt" localSheetId="0" hidden="1">1</definedName>
    <definedName name="solver_opt" localSheetId="0" hidden="1">Sheet1!$B$44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2</definedName>
    <definedName name="solver_rel100" localSheetId="0" hidden="1">2</definedName>
    <definedName name="solver_rel101" localSheetId="0" hidden="1">2</definedName>
    <definedName name="solver_rel102" localSheetId="0" hidden="1">2</definedName>
    <definedName name="solver_rel103" localSheetId="0" hidden="1">2</definedName>
    <definedName name="solver_rel104" localSheetId="0" hidden="1">2</definedName>
    <definedName name="solver_rel105" localSheetId="0" hidden="1">2</definedName>
    <definedName name="solver_rel106" localSheetId="0" hidden="1">2</definedName>
    <definedName name="solver_rel107" localSheetId="0" hidden="1">2</definedName>
    <definedName name="solver_rel108" localSheetId="0" hidden="1">2</definedName>
    <definedName name="solver_rel109" localSheetId="0" hidden="1">2</definedName>
    <definedName name="solver_rel11" localSheetId="0" hidden="1">2</definedName>
    <definedName name="solver_rel110" localSheetId="0" hidden="1">2</definedName>
    <definedName name="solver_rel12" localSheetId="0" hidden="1">2</definedName>
    <definedName name="solver_rel13" localSheetId="0" hidden="1">2</definedName>
    <definedName name="solver_rel14" localSheetId="0" hidden="1">2</definedName>
    <definedName name="solver_rel15" localSheetId="0" hidden="1">2</definedName>
    <definedName name="solver_rel16" localSheetId="0" hidden="1">2</definedName>
    <definedName name="solver_rel17" localSheetId="0" hidden="1">2</definedName>
    <definedName name="solver_rel18" localSheetId="0" hidden="1">2</definedName>
    <definedName name="solver_rel19" localSheetId="0" hidden="1">2</definedName>
    <definedName name="solver_rel2" localSheetId="0" hidden="1">4</definedName>
    <definedName name="solver_rel20" localSheetId="0" hidden="1">2</definedName>
    <definedName name="solver_rel21" localSheetId="0" hidden="1">2</definedName>
    <definedName name="solver_rel22" localSheetId="0" hidden="1">2</definedName>
    <definedName name="solver_rel23" localSheetId="0" hidden="1">2</definedName>
    <definedName name="solver_rel24" localSheetId="0" hidden="1">2</definedName>
    <definedName name="solver_rel25" localSheetId="0" hidden="1">2</definedName>
    <definedName name="solver_rel26" localSheetId="0" hidden="1">2</definedName>
    <definedName name="solver_rel27" localSheetId="0" hidden="1">2</definedName>
    <definedName name="solver_rel28" localSheetId="0" hidden="1">2</definedName>
    <definedName name="solver_rel29" localSheetId="0" hidden="1">2</definedName>
    <definedName name="solver_rel3" localSheetId="0" hidden="1">2</definedName>
    <definedName name="solver_rel30" localSheetId="0" hidden="1">2</definedName>
    <definedName name="solver_rel31" localSheetId="0" hidden="1">2</definedName>
    <definedName name="solver_rel32" localSheetId="0" hidden="1">2</definedName>
    <definedName name="solver_rel33" localSheetId="0" hidden="1">2</definedName>
    <definedName name="solver_rel34" localSheetId="0" hidden="1">2</definedName>
    <definedName name="solver_rel35" localSheetId="0" hidden="1">2</definedName>
    <definedName name="solver_rel36" localSheetId="0" hidden="1">2</definedName>
    <definedName name="solver_rel37" localSheetId="0" hidden="1">2</definedName>
    <definedName name="solver_rel38" localSheetId="0" hidden="1">2</definedName>
    <definedName name="solver_rel39" localSheetId="0" hidden="1">2</definedName>
    <definedName name="solver_rel4" localSheetId="0" hidden="1">4</definedName>
    <definedName name="solver_rel40" localSheetId="0" hidden="1">2</definedName>
    <definedName name="solver_rel41" localSheetId="0" hidden="1">2</definedName>
    <definedName name="solver_rel42" localSheetId="0" hidden="1">2</definedName>
    <definedName name="solver_rel43" localSheetId="0" hidden="1">2</definedName>
    <definedName name="solver_rel44" localSheetId="0" hidden="1">2</definedName>
    <definedName name="solver_rel45" localSheetId="0" hidden="1">2</definedName>
    <definedName name="solver_rel46" localSheetId="0" hidden="1">2</definedName>
    <definedName name="solver_rel47" localSheetId="0" hidden="1">2</definedName>
    <definedName name="solver_rel48" localSheetId="0" hidden="1">2</definedName>
    <definedName name="solver_rel49" localSheetId="0" hidden="1">4</definedName>
    <definedName name="solver_rel5" localSheetId="0" hidden="1">3</definedName>
    <definedName name="solver_rel50" localSheetId="0" hidden="1">2</definedName>
    <definedName name="solver_rel51" localSheetId="0" hidden="1">2</definedName>
    <definedName name="solver_rel52" localSheetId="0" hidden="1">2</definedName>
    <definedName name="solver_rel53" localSheetId="0" hidden="1">2</definedName>
    <definedName name="solver_rel54" localSheetId="0" hidden="1">1</definedName>
    <definedName name="solver_rel55" localSheetId="0" hidden="1">2</definedName>
    <definedName name="solver_rel56" localSheetId="0" hidden="1">2</definedName>
    <definedName name="solver_rel57" localSheetId="0" hidden="1">2</definedName>
    <definedName name="solver_rel58" localSheetId="0" hidden="1">1</definedName>
    <definedName name="solver_rel59" localSheetId="0" hidden="1">2</definedName>
    <definedName name="solver_rel6" localSheetId="0" hidden="1">1</definedName>
    <definedName name="solver_rel60" localSheetId="0" hidden="1">2</definedName>
    <definedName name="solver_rel61" localSheetId="0" hidden="1">2</definedName>
    <definedName name="solver_rel62" localSheetId="0" hidden="1">1</definedName>
    <definedName name="solver_rel63" localSheetId="0" hidden="1">2</definedName>
    <definedName name="solver_rel64" localSheetId="0" hidden="1">2</definedName>
    <definedName name="solver_rel65" localSheetId="0" hidden="1">2</definedName>
    <definedName name="solver_rel66" localSheetId="0" hidden="1">1</definedName>
    <definedName name="solver_rel67" localSheetId="0" hidden="1">2</definedName>
    <definedName name="solver_rel68" localSheetId="0" hidden="1">2</definedName>
    <definedName name="solver_rel69" localSheetId="0" hidden="1">2</definedName>
    <definedName name="solver_rel7" localSheetId="0" hidden="1">4</definedName>
    <definedName name="solver_rel70" localSheetId="0" hidden="1">1</definedName>
    <definedName name="solver_rel71" localSheetId="0" hidden="1">2</definedName>
    <definedName name="solver_rel72" localSheetId="0" hidden="1">2</definedName>
    <definedName name="solver_rel73" localSheetId="0" hidden="1">2</definedName>
    <definedName name="solver_rel74" localSheetId="0" hidden="1">2</definedName>
    <definedName name="solver_rel75" localSheetId="0" hidden="1">2</definedName>
    <definedName name="solver_rel76" localSheetId="0" hidden="1">2</definedName>
    <definedName name="solver_rel77" localSheetId="0" hidden="1">2</definedName>
    <definedName name="solver_rel78" localSheetId="0" hidden="1">2</definedName>
    <definedName name="solver_rel79" localSheetId="0" hidden="1">2</definedName>
    <definedName name="solver_rel8" localSheetId="0" hidden="1">3</definedName>
    <definedName name="solver_rel80" localSheetId="0" hidden="1">2</definedName>
    <definedName name="solver_rel81" localSheetId="0" hidden="1">2</definedName>
    <definedName name="solver_rel82" localSheetId="0" hidden="1">2</definedName>
    <definedName name="solver_rel83" localSheetId="0" hidden="1">2</definedName>
    <definedName name="solver_rel84" localSheetId="0" hidden="1">2</definedName>
    <definedName name="solver_rel85" localSheetId="0" hidden="1">2</definedName>
    <definedName name="solver_rel86" localSheetId="0" hidden="1">2</definedName>
    <definedName name="solver_rel87" localSheetId="0" hidden="1">2</definedName>
    <definedName name="solver_rel88" localSheetId="0" hidden="1">2</definedName>
    <definedName name="solver_rel89" localSheetId="0" hidden="1">2</definedName>
    <definedName name="solver_rel9" localSheetId="0" hidden="1">1</definedName>
    <definedName name="solver_rel90" localSheetId="0" hidden="1">2</definedName>
    <definedName name="solver_rel91" localSheetId="0" hidden="1">2</definedName>
    <definedName name="solver_rel92" localSheetId="0" hidden="1">2</definedName>
    <definedName name="solver_rel93" localSheetId="0" hidden="1">2</definedName>
    <definedName name="solver_rel94" localSheetId="0" hidden="1">2</definedName>
    <definedName name="solver_rel95" localSheetId="0" hidden="1">2</definedName>
    <definedName name="solver_rel96" localSheetId="0" hidden="1">2</definedName>
    <definedName name="solver_rel97" localSheetId="0" hidden="1">2</definedName>
    <definedName name="solver_rel98" localSheetId="0" hidden="1">2</definedName>
    <definedName name="solver_rel99" localSheetId="0" hidden="1">2</definedName>
    <definedName name="solver_rhs1" localSheetId="0" hidden="1">Sheet1!$BA$23:$BA$28</definedName>
    <definedName name="solver_rhs10" localSheetId="0" hidden="1">Sheet1!$AV$10</definedName>
    <definedName name="solver_rhs100" localSheetId="0" hidden="1">Sheet1!$U$29</definedName>
    <definedName name="solver_rhs101" localSheetId="0" hidden="1">Sheet1!$AL$10</definedName>
    <definedName name="solver_rhs102" localSheetId="0" hidden="1">Sheet1!$V$29</definedName>
    <definedName name="solver_rhs103" localSheetId="0" hidden="1">Sheet1!$AM$10</definedName>
    <definedName name="solver_rhs104" localSheetId="0" hidden="1">Sheet1!$W$29</definedName>
    <definedName name="solver_rhs105" localSheetId="0" hidden="1">Sheet1!$AN$10</definedName>
    <definedName name="solver_rhs106" localSheetId="0" hidden="1">Sheet1!$X$29</definedName>
    <definedName name="solver_rhs107" localSheetId="0" hidden="1">Sheet1!$Y$29</definedName>
    <definedName name="solver_rhs108" localSheetId="0" hidden="1">Sheet1!$AO$10</definedName>
    <definedName name="solver_rhs109" localSheetId="0" hidden="1">Sheet1!$Z$29</definedName>
    <definedName name="solver_rhs11" localSheetId="0" hidden="1">Sheet1!$AF$29</definedName>
    <definedName name="solver_rhs110" localSheetId="0" hidden="1">Sheet1!$AQ$10</definedName>
    <definedName name="solver_rhs12" localSheetId="0" hidden="1">Sheet1!$AW$10</definedName>
    <definedName name="solver_rhs13" localSheetId="0" hidden="1">Sheet1!$AG$29</definedName>
    <definedName name="solver_rhs14" localSheetId="0" hidden="1">Sheet1!$AX$10</definedName>
    <definedName name="solver_rhs15" localSheetId="0" hidden="1">Sheet1!$AH$29</definedName>
    <definedName name="solver_rhs16" localSheetId="0" hidden="1">Sheet1!$AY$10</definedName>
    <definedName name="solver_rhs17" localSheetId="0" hidden="1">Sheet1!$AI$29</definedName>
    <definedName name="solver_rhs18" localSheetId="0" hidden="1">Sheet1!$AZ$10</definedName>
    <definedName name="solver_rhs19" localSheetId="0" hidden="1">Sheet1!$AJ$29</definedName>
    <definedName name="solver_rhs2" localSheetId="0" hidden="1">"integer"</definedName>
    <definedName name="solver_rhs20" localSheetId="0" hidden="1">Sheet1!$BA$10</definedName>
    <definedName name="solver_rhs21" localSheetId="0" hidden="1">Sheet1!$AK$29</definedName>
    <definedName name="solver_rhs22" localSheetId="0" hidden="1">Sheet1!$BB$10</definedName>
    <definedName name="solver_rhs23" localSheetId="0" hidden="1">Sheet1!$AL$29</definedName>
    <definedName name="solver_rhs24" localSheetId="0" hidden="1">Sheet1!$BC$10</definedName>
    <definedName name="solver_rhs25" localSheetId="0" hidden="1">Sheet1!$AM$29</definedName>
    <definedName name="solver_rhs26" localSheetId="0" hidden="1">Sheet1!$BD$10</definedName>
    <definedName name="solver_rhs27" localSheetId="0" hidden="1">Sheet1!$AN$29</definedName>
    <definedName name="solver_rhs28" localSheetId="0" hidden="1">Sheet1!$BE$10</definedName>
    <definedName name="solver_rhs29" localSheetId="0" hidden="1">Sheet1!$AO$29</definedName>
    <definedName name="solver_rhs3" localSheetId="0" hidden="1">Sheet1!$S$10:$BO$10</definedName>
    <definedName name="solver_rhs30" localSheetId="0" hidden="1">Sheet1!$BF$10</definedName>
    <definedName name="solver_rhs31" localSheetId="0" hidden="1">Sheet1!$AP$29</definedName>
    <definedName name="solver_rhs32" localSheetId="0" hidden="1">Sheet1!$BG$10</definedName>
    <definedName name="solver_rhs33" localSheetId="0" hidden="1">Sheet1!$AQ$29</definedName>
    <definedName name="solver_rhs34" localSheetId="0" hidden="1">Sheet1!$BH$10</definedName>
    <definedName name="solver_rhs35" localSheetId="0" hidden="1">Sheet1!$AR$29</definedName>
    <definedName name="solver_rhs36" localSheetId="0" hidden="1">Sheet1!$BI$10</definedName>
    <definedName name="solver_rhs37" localSheetId="0" hidden="1">Sheet1!$AS$29</definedName>
    <definedName name="solver_rhs38" localSheetId="0" hidden="1">Sheet1!$BJ$10</definedName>
    <definedName name="solver_rhs39" localSheetId="0" hidden="1">Sheet1!$AT$29</definedName>
    <definedName name="solver_rhs4" localSheetId="0" hidden="1">"integer"</definedName>
    <definedName name="solver_rhs40" localSheetId="0" hidden="1">Sheet1!$BK$10</definedName>
    <definedName name="solver_rhs41" localSheetId="0" hidden="1">Sheet1!$AU$29</definedName>
    <definedName name="solver_rhs42" localSheetId="0" hidden="1">Sheet1!$BL$10</definedName>
    <definedName name="solver_rhs43" localSheetId="0" hidden="1">Sheet1!$AV$29</definedName>
    <definedName name="solver_rhs44" localSheetId="0" hidden="1">Sheet1!$BM$10</definedName>
    <definedName name="solver_rhs45" localSheetId="0" hidden="1">Sheet1!$AW$29</definedName>
    <definedName name="solver_rhs46" localSheetId="0" hidden="1">Sheet1!$BN$10</definedName>
    <definedName name="solver_rhs47" localSheetId="0" hidden="1">Sheet1!$AX$29</definedName>
    <definedName name="solver_rhs48" localSheetId="0" hidden="1">Sheet1!$BO$10</definedName>
    <definedName name="solver_rhs49" localSheetId="0" hidden="1">"integer"</definedName>
    <definedName name="solver_rhs5" localSheetId="0" hidden="1">Sheet1!$B$40:$G$40</definedName>
    <definedName name="solver_rhs50" localSheetId="0" hidden="1">Sheet1!$B$29</definedName>
    <definedName name="solver_rhs51" localSheetId="0" hidden="1">Sheet1!$S$10</definedName>
    <definedName name="solver_rhs52" localSheetId="0" hidden="1">Sheet1!$B$38</definedName>
    <definedName name="solver_rhs53" localSheetId="0" hidden="1">Sheet1!#REF!</definedName>
    <definedName name="solver_rhs54" localSheetId="0" hidden="1">Sheet1!$B$5</definedName>
    <definedName name="solver_rhs55" localSheetId="0" hidden="1">Sheet1!$C$29</definedName>
    <definedName name="solver_rhs56" localSheetId="0" hidden="1">Sheet1!$T$10</definedName>
    <definedName name="solver_rhs57" localSheetId="0" hidden="1">Sheet1!$C$38</definedName>
    <definedName name="solver_rhs58" localSheetId="0" hidden="1">Sheet1!$C$5</definedName>
    <definedName name="solver_rhs59" localSheetId="0" hidden="1">Sheet1!$D$29</definedName>
    <definedName name="solver_rhs6" localSheetId="0" hidden="1">Sheet1!$J$33:$J$37</definedName>
    <definedName name="solver_rhs60" localSheetId="0" hidden="1">Sheet1!$U$10</definedName>
    <definedName name="solver_rhs61" localSheetId="0" hidden="1">Sheet1!$D$38</definedName>
    <definedName name="solver_rhs62" localSheetId="0" hidden="1">Sheet1!$D$5</definedName>
    <definedName name="solver_rhs63" localSheetId="0" hidden="1">Sheet1!$E$29</definedName>
    <definedName name="solver_rhs64" localSheetId="0" hidden="1">Sheet1!$V$10</definedName>
    <definedName name="solver_rhs65" localSheetId="0" hidden="1">Sheet1!$E$38</definedName>
    <definedName name="solver_rhs66" localSheetId="0" hidden="1">Sheet1!$E$5</definedName>
    <definedName name="solver_rhs67" localSheetId="0" hidden="1">Sheet1!$F$29</definedName>
    <definedName name="solver_rhs68" localSheetId="0" hidden="1">Sheet1!$W$10</definedName>
    <definedName name="solver_rhs69" localSheetId="0" hidden="1">Sheet1!$F$38</definedName>
    <definedName name="solver_rhs7" localSheetId="0" hidden="1">"integer"</definedName>
    <definedName name="solver_rhs70" localSheetId="0" hidden="1">Sheet1!$F$5</definedName>
    <definedName name="solver_rhs71" localSheetId="0" hidden="1">Sheet1!$G$29</definedName>
    <definedName name="solver_rhs72" localSheetId="0" hidden="1">Sheet1!$X$10</definedName>
    <definedName name="solver_rhs73" localSheetId="0" hidden="1">Sheet1!$G$38</definedName>
    <definedName name="solver_rhs74" localSheetId="0" hidden="1">Sheet1!$H$29</definedName>
    <definedName name="solver_rhs75" localSheetId="0" hidden="1">Sheet1!$Y$10</definedName>
    <definedName name="solver_rhs76" localSheetId="0" hidden="1">Sheet1!$I$29</definedName>
    <definedName name="solver_rhs77" localSheetId="0" hidden="1">Sheet1!$Z$10</definedName>
    <definedName name="solver_rhs78" localSheetId="0" hidden="1">Sheet1!$J$29</definedName>
    <definedName name="solver_rhs79" localSheetId="0" hidden="1">Sheet1!$AA$10</definedName>
    <definedName name="solver_rhs8" localSheetId="0" hidden="1">Sheet1!$O$37:$S$37</definedName>
    <definedName name="solver_rhs80" localSheetId="0" hidden="1">Sheet1!$K$29</definedName>
    <definedName name="solver_rhs81" localSheetId="0" hidden="1">Sheet1!$AB$10</definedName>
    <definedName name="solver_rhs82" localSheetId="0" hidden="1">Sheet1!$L$29</definedName>
    <definedName name="solver_rhs83" localSheetId="0" hidden="1">Sheet1!$AC$10</definedName>
    <definedName name="solver_rhs84" localSheetId="0" hidden="1">Sheet1!$M$29</definedName>
    <definedName name="solver_rhs85" localSheetId="0" hidden="1">Sheet1!$AD$10</definedName>
    <definedName name="solver_rhs86" localSheetId="0" hidden="1">Sheet1!$N$29</definedName>
    <definedName name="solver_rhs87" localSheetId="0" hidden="1">Sheet1!$AE$10</definedName>
    <definedName name="solver_rhs88" localSheetId="0" hidden="1">Sheet1!$O$29</definedName>
    <definedName name="solver_rhs89" localSheetId="0" hidden="1">Sheet1!$AF$10</definedName>
    <definedName name="solver_rhs9" localSheetId="0" hidden="1">Sheet1!$V$34</definedName>
    <definedName name="solver_rhs90" localSheetId="0" hidden="1">Sheet1!$P$29</definedName>
    <definedName name="solver_rhs91" localSheetId="0" hidden="1">Sheet1!$AG$10</definedName>
    <definedName name="solver_rhs92" localSheetId="0" hidden="1">Sheet1!$Q$29</definedName>
    <definedName name="solver_rhs93" localSheetId="0" hidden="1">Sheet1!$AH$10</definedName>
    <definedName name="solver_rhs94" localSheetId="0" hidden="1">Sheet1!$R$29</definedName>
    <definedName name="solver_rhs95" localSheetId="0" hidden="1">Sheet1!$AI$10</definedName>
    <definedName name="solver_rhs96" localSheetId="0" hidden="1">Sheet1!$S$29</definedName>
    <definedName name="solver_rhs97" localSheetId="0" hidden="1">Sheet1!$AJ$10</definedName>
    <definedName name="solver_rhs98" localSheetId="0" hidden="1">Sheet1!$T$29</definedName>
    <definedName name="solver_rhs99" localSheetId="0" hidden="1">Sheet1!$AK$10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4" i="1" l="1"/>
  <c r="BP10" i="1"/>
  <c r="P35" i="1" l="1"/>
  <c r="Q35" i="1"/>
  <c r="R35" i="1"/>
  <c r="S35" i="1"/>
  <c r="O35" i="1"/>
  <c r="T34" i="1"/>
  <c r="B14" i="1"/>
  <c r="AY23" i="1"/>
  <c r="B40" i="1" s="1"/>
  <c r="AY24" i="1"/>
  <c r="C40" i="1" s="1"/>
  <c r="AY25" i="1"/>
  <c r="D40" i="1" s="1"/>
  <c r="AY26" i="1"/>
  <c r="E40" i="1" s="1"/>
  <c r="AY27" i="1"/>
  <c r="F40" i="1" s="1"/>
  <c r="AY28" i="1"/>
  <c r="G40" i="1" s="1"/>
  <c r="C38" i="1"/>
  <c r="H37" i="1"/>
  <c r="S37" i="1" s="1"/>
  <c r="H34" i="1"/>
  <c r="P37" i="1" s="1"/>
  <c r="H35" i="1"/>
  <c r="Q37" i="1" s="1"/>
  <c r="H36" i="1"/>
  <c r="R37" i="1" s="1"/>
  <c r="H33" i="1"/>
  <c r="O37" i="1" s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B29" i="1"/>
  <c r="G38" i="1"/>
  <c r="F38" i="1"/>
  <c r="E38" i="1"/>
  <c r="D38" i="1"/>
  <c r="B38" i="1"/>
  <c r="G18" i="1"/>
  <c r="F18" i="1"/>
  <c r="E18" i="1"/>
  <c r="D18" i="1"/>
  <c r="C18" i="1"/>
  <c r="G17" i="1"/>
  <c r="F17" i="1"/>
  <c r="E17" i="1"/>
  <c r="D17" i="1"/>
  <c r="C17" i="1"/>
  <c r="G16" i="1"/>
  <c r="F16" i="1"/>
  <c r="E16" i="1"/>
  <c r="D16" i="1"/>
  <c r="C16" i="1"/>
  <c r="G15" i="1"/>
  <c r="F15" i="1"/>
  <c r="E15" i="1"/>
  <c r="D15" i="1"/>
  <c r="C15" i="1"/>
  <c r="G14" i="1"/>
  <c r="F14" i="1"/>
  <c r="E14" i="1"/>
  <c r="D14" i="1"/>
  <c r="C14" i="1"/>
  <c r="B18" i="1"/>
  <c r="B17" i="1"/>
  <c r="B16" i="1"/>
  <c r="B15" i="1"/>
  <c r="H40" i="1" l="1"/>
  <c r="T37" i="1"/>
  <c r="AY29" i="1"/>
  <c r="C4" i="1" l="1"/>
  <c r="D4" i="1"/>
  <c r="E4" i="1"/>
  <c r="F4" i="1"/>
  <c r="B4" i="1"/>
</calcChain>
</file>

<file path=xl/sharedStrings.xml><?xml version="1.0" encoding="utf-8"?>
<sst xmlns="http://schemas.openxmlformats.org/spreadsheetml/2006/main" count="318" uniqueCount="130">
  <si>
    <t>Origin</t>
  </si>
  <si>
    <t>Port of Entry in USA</t>
  </si>
  <si>
    <t>Shanghai</t>
  </si>
  <si>
    <t>LA/LB</t>
  </si>
  <si>
    <t>Seattle</t>
  </si>
  <si>
    <t>Houton</t>
  </si>
  <si>
    <t>Tampa Bay</t>
  </si>
  <si>
    <t>NY/NJ</t>
  </si>
  <si>
    <t>Miles</t>
  </si>
  <si>
    <t>Nautical Miles</t>
  </si>
  <si>
    <t>Total Cost</t>
  </si>
  <si>
    <t>Port of Entry</t>
  </si>
  <si>
    <t>Distribution Center</t>
  </si>
  <si>
    <t>Denver</t>
  </si>
  <si>
    <t>Salt Lake City</t>
  </si>
  <si>
    <t>Minneapolis</t>
  </si>
  <si>
    <t xml:space="preserve">Saint Louis </t>
  </si>
  <si>
    <t>Nashville</t>
  </si>
  <si>
    <t>Atlanta</t>
  </si>
  <si>
    <t>Montgomery</t>
  </si>
  <si>
    <t>Phoenix</t>
  </si>
  <si>
    <t>Little Rock</t>
  </si>
  <si>
    <t>Sacramento</t>
  </si>
  <si>
    <t>Hartford</t>
  </si>
  <si>
    <t>Dover</t>
  </si>
  <si>
    <t>Washington D.C.</t>
  </si>
  <si>
    <t>Tallahassee</t>
  </si>
  <si>
    <t>Boise</t>
  </si>
  <si>
    <t>Springfield</t>
  </si>
  <si>
    <t>Indianapolis</t>
  </si>
  <si>
    <t>Des Moines</t>
  </si>
  <si>
    <t>Topeka</t>
  </si>
  <si>
    <t>Frankfort</t>
  </si>
  <si>
    <t>Baton Rouge</t>
  </si>
  <si>
    <t>Augusta</t>
  </si>
  <si>
    <t>Annapolis</t>
  </si>
  <si>
    <t>Boston</t>
  </si>
  <si>
    <t>Lansing</t>
  </si>
  <si>
    <t>Saint Paul</t>
  </si>
  <si>
    <t>Jackson</t>
  </si>
  <si>
    <t>Jefferson City</t>
  </si>
  <si>
    <t xml:space="preserve">Helena </t>
  </si>
  <si>
    <t>Lincoln</t>
  </si>
  <si>
    <t>Carson City</t>
  </si>
  <si>
    <t>Concord</t>
  </si>
  <si>
    <t>Trenton</t>
  </si>
  <si>
    <t>Santa Fe</t>
  </si>
  <si>
    <t>Albany</t>
  </si>
  <si>
    <t>Raleigh</t>
  </si>
  <si>
    <t>Bismarck</t>
  </si>
  <si>
    <t>Columbus</t>
  </si>
  <si>
    <t>Oklahoma City</t>
  </si>
  <si>
    <t>Salem</t>
  </si>
  <si>
    <t>Harrisburg</t>
  </si>
  <si>
    <t>Providence</t>
  </si>
  <si>
    <t>Columbia</t>
  </si>
  <si>
    <t>Pierre</t>
  </si>
  <si>
    <t>Austin</t>
  </si>
  <si>
    <t>Montpelier</t>
  </si>
  <si>
    <t>Richmond</t>
  </si>
  <si>
    <t>Olympia</t>
  </si>
  <si>
    <t>Charleston</t>
  </si>
  <si>
    <t>Madison</t>
  </si>
  <si>
    <t>Chevenne</t>
  </si>
  <si>
    <t>Alabama</t>
  </si>
  <si>
    <t>Arizona</t>
  </si>
  <si>
    <t>Arkansas</t>
  </si>
  <si>
    <t>California</t>
  </si>
  <si>
    <t>Colorado</t>
  </si>
  <si>
    <t>Connecticut</t>
  </si>
  <si>
    <t>Delaware</t>
  </si>
  <si>
    <t>District of Columbia</t>
  </si>
  <si>
    <t>Florida</t>
  </si>
  <si>
    <t>Georgia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</si>
  <si>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</si>
  <si>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</si>
  <si>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</si>
  <si>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</si>
  <si>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</si>
  <si>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</si>
  <si>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</si>
  <si>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</si>
  <si>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</si>
  <si>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</si>
  <si>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</si>
  <si>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</si>
  <si>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</si>
  <si>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</si>
  <si>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</si>
  <si>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</si>
  <si>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</si>
  <si>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</si>
  <si>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</si>
  <si>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</si>
  <si>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</si>
  <si>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</si>
  <si>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</si>
  <si>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</si>
  <si>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</si>
  <si>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</si>
  <si>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</si>
  <si>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</si>
  <si>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</si>
  <si>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</si>
  <si>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</si>
  <si>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</si>
  <si>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</si>
  <si>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</si>
  <si>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</si>
  <si>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</si>
  <si>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</si>
  <si>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</si>
  <si>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</si>
  <si>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States - Main Urban Nodes</t>
  </si>
  <si>
    <t>Capacity</t>
  </si>
  <si>
    <t>VARIABLE</t>
  </si>
  <si>
    <t>Total Quantity</t>
  </si>
  <si>
    <t>Optimized Total Cost</t>
  </si>
  <si>
    <t>Total</t>
  </si>
  <si>
    <t>&lt;=</t>
  </si>
  <si>
    <t>DEMAND</t>
  </si>
  <si>
    <t>&gt;=</t>
  </si>
  <si>
    <t>COST ( [1] + [2] )</t>
  </si>
  <si>
    <t>Shipped</t>
  </si>
  <si>
    <t>COST [2]</t>
  </si>
  <si>
    <t>COST [1]</t>
  </si>
  <si>
    <t>Demand for 2018</t>
  </si>
  <si>
    <t>COST [3]</t>
  </si>
  <si>
    <t>Variable</t>
  </si>
  <si>
    <t>Total Demand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</si>
</sst>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0" xfId="0" applyBorder="1" applyAlignment="1">
      <alignment vertical="center"/>
    </xf>
    <xf numFmtId="1" fontId="0" fillId="0" borderId="1" xfId="0" applyNumberFormat="1" applyBorder="1"/>
    <xf numFmtId="0" fontId="0" fillId="0" borderId="2" xfId="0" applyBorder="1" applyAlignment="1"/>
    <xf numFmtId="0" fontId="0" fillId="0" borderId="0" xfId="0" applyAlignment="1">
      <alignment vertical="center"/>
    </xf>
    <xf numFmtId="1" fontId="0" fillId="0" borderId="0" xfId="0" applyNumberFormat="1"/>
    <xf numFmtId="164" fontId="0" fillId="0" borderId="1" xfId="0" applyNumberFormat="1" applyBorder="1"/>
    <xf numFmtId="0" fontId="1" fillId="2" borderId="1" xfId="0" applyFont="1" applyFill="1" applyBorder="1"/>
    <xf numFmtId="0" fontId="0" fillId="3" borderId="1" xfId="0" applyFill="1" applyBorder="1"/>
    <xf numFmtId="0" fontId="0" fillId="3" borderId="1" xfId="0" applyFill="1" applyBorder="1" applyAlignment="1">
      <alignment vertical="center"/>
    </xf>
    <xf numFmtId="0" fontId="0" fillId="0" borderId="0" xfId="0" applyFill="1" applyBorder="1"/>
    <xf numFmtId="0" fontId="0" fillId="0" borderId="1" xfId="0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5894F-EB7B-43BE-A98A-7114D76F767D}">
  <dimension ref="A1:BP44"/>
  <sheetViews>
    <sheetView tabSelected="1" zoomScale="90" zoomScaleNormal="90" workbookViewId="0">
      <selection activeCell="P34" sqref="P34"/>
    </sheetView>
  </sheetViews>
  <sheetFormatPr defaultRowHeight="14.4" x14ac:dyDescent="0.3"/>
  <cols>
    <col min="1" max="1" width="19.33203125" bestFit="1" customWidth="1"/>
    <col min="2" max="2" width="16" bestFit="1" customWidth="1"/>
    <col min="7" max="7" width="12.5546875" bestFit="1" customWidth="1"/>
    <col min="9" max="9" width="13.77734375" customWidth="1"/>
    <col min="18" max="18" width="16.44140625" bestFit="1" customWidth="1"/>
    <col min="68" max="68" width="12.77734375" bestFit="1" customWidth="1"/>
  </cols>
  <sheetData>
    <row r="1" spans="1:68" x14ac:dyDescent="0.3">
      <c r="A1" s="10" t="s">
        <v>125</v>
      </c>
      <c r="B1" s="14" t="s">
        <v>1</v>
      </c>
      <c r="C1" s="14"/>
      <c r="D1" s="14"/>
      <c r="E1" s="14"/>
      <c r="F1" s="14"/>
      <c r="G1" s="1"/>
      <c r="I1" s="10" t="s">
        <v>124</v>
      </c>
      <c r="J1" s="14" t="s">
        <v>12</v>
      </c>
      <c r="K1" s="14"/>
      <c r="L1" s="14"/>
      <c r="M1" s="14"/>
      <c r="N1" s="14"/>
      <c r="O1" s="14"/>
      <c r="P1" s="1"/>
      <c r="R1" s="11" t="s">
        <v>127</v>
      </c>
      <c r="S1" s="14" t="s">
        <v>113</v>
      </c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t="s">
        <v>129</v>
      </c>
    </row>
    <row r="2" spans="1:68" x14ac:dyDescent="0.3">
      <c r="A2" s="1" t="s">
        <v>0</v>
      </c>
      <c r="B2" s="1" t="s">
        <v>3</v>
      </c>
      <c r="C2" s="1" t="s">
        <v>4</v>
      </c>
      <c r="D2" s="1" t="s">
        <v>5</v>
      </c>
      <c r="E2" s="1" t="s">
        <v>6</v>
      </c>
      <c r="F2" s="1" t="s">
        <v>7</v>
      </c>
      <c r="G2" s="1"/>
      <c r="I2" s="1" t="s">
        <v>11</v>
      </c>
      <c r="J2" s="1" t="s">
        <v>13</v>
      </c>
      <c r="K2" s="1" t="s">
        <v>14</v>
      </c>
      <c r="L2" s="1" t="s">
        <v>15</v>
      </c>
      <c r="M2" s="1" t="s">
        <v>16</v>
      </c>
      <c r="N2" s="1" t="s">
        <v>17</v>
      </c>
      <c r="O2" s="1" t="s">
        <v>18</v>
      </c>
      <c r="P2" s="1"/>
      <c r="R2" s="16" t="s">
        <v>12</v>
      </c>
      <c r="S2" s="1" t="s">
        <v>64</v>
      </c>
      <c r="T2" s="1" t="s">
        <v>65</v>
      </c>
      <c r="U2" s="1" t="s">
        <v>66</v>
      </c>
      <c r="V2" s="1" t="s">
        <v>67</v>
      </c>
      <c r="W2" s="1" t="s">
        <v>68</v>
      </c>
      <c r="X2" s="1" t="s">
        <v>69</v>
      </c>
      <c r="Y2" s="1" t="s">
        <v>70</v>
      </c>
      <c r="Z2" s="1" t="s">
        <v>71</v>
      </c>
      <c r="AA2" s="1" t="s">
        <v>72</v>
      </c>
      <c r="AB2" s="1" t="s">
        <v>73</v>
      </c>
      <c r="AC2" s="1" t="s">
        <v>74</v>
      </c>
      <c r="AD2" s="1" t="s">
        <v>75</v>
      </c>
      <c r="AE2" s="1" t="s">
        <v>76</v>
      </c>
      <c r="AF2" s="1" t="s">
        <v>77</v>
      </c>
      <c r="AG2" s="1" t="s">
        <v>78</v>
      </c>
      <c r="AH2" s="1" t="s">
        <v>79</v>
      </c>
      <c r="AI2" s="1" t="s">
        <v>80</v>
      </c>
      <c r="AJ2" s="1" t="s">
        <v>81</v>
      </c>
      <c r="AK2" s="1" t="s">
        <v>82</v>
      </c>
      <c r="AL2" s="1" t="s">
        <v>83</v>
      </c>
      <c r="AM2" s="1" t="s">
        <v>84</v>
      </c>
      <c r="AN2" s="1" t="s">
        <v>85</v>
      </c>
      <c r="AO2" s="1" t="s">
        <v>86</v>
      </c>
      <c r="AP2" s="1" t="s">
        <v>87</v>
      </c>
      <c r="AQ2" s="1" t="s">
        <v>88</v>
      </c>
      <c r="AR2" s="1" t="s">
        <v>89</v>
      </c>
      <c r="AS2" s="1" t="s">
        <v>90</v>
      </c>
      <c r="AT2" s="1" t="s">
        <v>91</v>
      </c>
      <c r="AU2" s="1" t="s">
        <v>92</v>
      </c>
      <c r="AV2" s="1" t="s">
        <v>93</v>
      </c>
      <c r="AW2" s="1" t="s">
        <v>94</v>
      </c>
      <c r="AX2" s="1" t="s">
        <v>95</v>
      </c>
      <c r="AY2" s="1" t="s">
        <v>96</v>
      </c>
      <c r="AZ2" s="1" t="s">
        <v>97</v>
      </c>
      <c r="BA2" s="1" t="s">
        <v>98</v>
      </c>
      <c r="BB2" s="1" t="s">
        <v>99</v>
      </c>
      <c r="BC2" s="1" t="s">
        <v>100</v>
      </c>
      <c r="BD2" s="1" t="s">
        <v>101</v>
      </c>
      <c r="BE2" s="1" t="s">
        <v>102</v>
      </c>
      <c r="BF2" s="1" t="s">
        <v>103</v>
      </c>
      <c r="BG2" s="1" t="s">
        <v>104</v>
      </c>
      <c r="BH2" s="1" t="s">
        <v>105</v>
      </c>
      <c r="BI2" s="1" t="s">
        <v>106</v>
      </c>
      <c r="BJ2" s="1" t="s">
        <v>107</v>
      </c>
      <c r="BK2" s="1" t="s">
        <v>108</v>
      </c>
      <c r="BL2" s="1" t="s">
        <v>109</v>
      </c>
      <c r="BM2" s="1" t="s">
        <v>110</v>
      </c>
      <c r="BN2" s="1" t="s">
        <v>111</v>
      </c>
      <c r="BO2" s="1" t="s">
        <v>112</v>
      </c>
    </row>
    <row r="3" spans="1:68" x14ac:dyDescent="0.3">
      <c r="A3" s="20" t="s">
        <v>2</v>
      </c>
      <c r="B3" s="1">
        <v>19270</v>
      </c>
      <c r="C3" s="1">
        <v>20544</v>
      </c>
      <c r="D3" s="1">
        <v>15904</v>
      </c>
      <c r="E3">
        <v>15125</v>
      </c>
      <c r="F3">
        <v>13861</v>
      </c>
      <c r="G3" s="1" t="s">
        <v>9</v>
      </c>
      <c r="I3" s="1" t="s">
        <v>3</v>
      </c>
      <c r="J3" s="1">
        <v>1035</v>
      </c>
      <c r="K3" s="1">
        <v>708</v>
      </c>
      <c r="L3" s="1">
        <v>1945</v>
      </c>
      <c r="M3" s="1">
        <v>1840</v>
      </c>
      <c r="N3" s="1">
        <v>2023</v>
      </c>
      <c r="O3">
        <v>2197</v>
      </c>
      <c r="P3" s="1" t="s">
        <v>8</v>
      </c>
      <c r="R3" s="17"/>
      <c r="S3" s="1" t="s">
        <v>19</v>
      </c>
      <c r="T3" s="1" t="s">
        <v>20</v>
      </c>
      <c r="U3" s="1" t="s">
        <v>21</v>
      </c>
      <c r="V3" s="1" t="s">
        <v>22</v>
      </c>
      <c r="W3" s="1" t="s">
        <v>13</v>
      </c>
      <c r="X3" s="1" t="s">
        <v>23</v>
      </c>
      <c r="Y3" s="1" t="s">
        <v>24</v>
      </c>
      <c r="Z3" s="1" t="s">
        <v>25</v>
      </c>
      <c r="AA3" s="1" t="s">
        <v>26</v>
      </c>
      <c r="AB3" s="1" t="s">
        <v>18</v>
      </c>
      <c r="AC3" s="1" t="s">
        <v>27</v>
      </c>
      <c r="AD3" s="1" t="s">
        <v>28</v>
      </c>
      <c r="AE3" s="1" t="s">
        <v>29</v>
      </c>
      <c r="AF3" s="1" t="s">
        <v>30</v>
      </c>
      <c r="AG3" s="1" t="s">
        <v>31</v>
      </c>
      <c r="AH3" s="1" t="s">
        <v>32</v>
      </c>
      <c r="AI3" s="1" t="s">
        <v>33</v>
      </c>
      <c r="AJ3" s="1" t="s">
        <v>34</v>
      </c>
      <c r="AK3" s="1" t="s">
        <v>35</v>
      </c>
      <c r="AL3" s="1" t="s">
        <v>36</v>
      </c>
      <c r="AM3" s="1" t="s">
        <v>37</v>
      </c>
      <c r="AN3" s="1" t="s">
        <v>38</v>
      </c>
      <c r="AO3" s="1" t="s">
        <v>39</v>
      </c>
      <c r="AP3" s="1" t="s">
        <v>40</v>
      </c>
      <c r="AQ3" s="1" t="s">
        <v>41</v>
      </c>
      <c r="AR3" s="1" t="s">
        <v>42</v>
      </c>
      <c r="AS3" s="1" t="s">
        <v>43</v>
      </c>
      <c r="AT3" s="1" t="s">
        <v>44</v>
      </c>
      <c r="AU3" s="1" t="s">
        <v>45</v>
      </c>
      <c r="AV3" s="1" t="s">
        <v>46</v>
      </c>
      <c r="AW3" s="1" t="s">
        <v>47</v>
      </c>
      <c r="AX3" s="1" t="s">
        <v>48</v>
      </c>
      <c r="AY3" s="1" t="s">
        <v>49</v>
      </c>
      <c r="AZ3" s="1" t="s">
        <v>50</v>
      </c>
      <c r="BA3" s="1" t="s">
        <v>51</v>
      </c>
      <c r="BB3" s="1" t="s">
        <v>52</v>
      </c>
      <c r="BC3" s="1" t="s">
        <v>53</v>
      </c>
      <c r="BD3" s="1" t="s">
        <v>54</v>
      </c>
      <c r="BE3" s="1" t="s">
        <v>55</v>
      </c>
      <c r="BF3" s="1" t="s">
        <v>56</v>
      </c>
      <c r="BG3" s="1" t="s">
        <v>17</v>
      </c>
      <c r="BH3" s="1" t="s">
        <v>57</v>
      </c>
      <c r="BI3" s="1" t="s">
        <v>14</v>
      </c>
      <c r="BJ3" s="1" t="s">
        <v>58</v>
      </c>
      <c r="BK3" s="1" t="s">
        <v>59</v>
      </c>
      <c r="BL3" s="1" t="s">
        <v>60</v>
      </c>
      <c r="BM3" s="1" t="s">
        <v>61</v>
      </c>
      <c r="BN3" s="1" t="s">
        <v>62</v>
      </c>
      <c r="BO3" s="1" t="s">
        <v>63</v>
      </c>
    </row>
    <row r="4" spans="1:68" x14ac:dyDescent="0.3">
      <c r="A4" s="20"/>
      <c r="B4" s="1">
        <f>B3/10</f>
        <v>1927</v>
      </c>
      <c r="C4" s="1">
        <f t="shared" ref="C4:F4" si="0">C3/10</f>
        <v>2054.4</v>
      </c>
      <c r="D4" s="1">
        <f t="shared" si="0"/>
        <v>1590.4</v>
      </c>
      <c r="E4" s="1">
        <f t="shared" si="0"/>
        <v>1512.5</v>
      </c>
      <c r="F4" s="1">
        <f t="shared" si="0"/>
        <v>1386.1</v>
      </c>
      <c r="G4" s="1" t="s">
        <v>8</v>
      </c>
      <c r="I4" s="1" t="s">
        <v>4</v>
      </c>
      <c r="J4" s="1">
        <v>1306</v>
      </c>
      <c r="K4" s="1">
        <v>831</v>
      </c>
      <c r="L4" s="1">
        <v>1657</v>
      </c>
      <c r="M4" s="1">
        <v>2084</v>
      </c>
      <c r="N4" s="1">
        <v>2392</v>
      </c>
      <c r="O4" s="1">
        <v>2636</v>
      </c>
      <c r="P4" s="1" t="s">
        <v>8</v>
      </c>
      <c r="R4" s="1" t="s">
        <v>13</v>
      </c>
      <c r="S4" s="1">
        <v>1268</v>
      </c>
      <c r="T4" s="1">
        <v>822</v>
      </c>
      <c r="U4" s="1">
        <v>969</v>
      </c>
      <c r="V4" s="1">
        <v>1017</v>
      </c>
      <c r="W4" s="1">
        <v>0</v>
      </c>
      <c r="X4" s="1">
        <v>1839</v>
      </c>
      <c r="Y4" s="1">
        <v>1741</v>
      </c>
      <c r="Z4" s="1">
        <v>1690</v>
      </c>
      <c r="AA4" s="1">
        <v>1748</v>
      </c>
      <c r="AB4" s="1">
        <v>1402</v>
      </c>
      <c r="AC4" s="1">
        <v>815</v>
      </c>
      <c r="AD4" s="1">
        <v>1005</v>
      </c>
      <c r="AE4" s="1">
        <v>1085</v>
      </c>
      <c r="AF4" s="1">
        <v>671</v>
      </c>
      <c r="AG4" s="1">
        <v>520</v>
      </c>
      <c r="AH4" s="1">
        <v>1109</v>
      </c>
      <c r="AI4" s="1">
        <v>1285</v>
      </c>
      <c r="AJ4" s="1">
        <v>2071</v>
      </c>
      <c r="AK4" s="1">
        <v>1692</v>
      </c>
      <c r="AL4" s="1">
        <v>1973</v>
      </c>
      <c r="AM4" s="1">
        <v>1270</v>
      </c>
      <c r="AN4" s="1">
        <v>914</v>
      </c>
      <c r="AO4" s="1">
        <v>1200</v>
      </c>
      <c r="AP4" s="1">
        <v>602</v>
      </c>
      <c r="AQ4" s="1">
        <v>555</v>
      </c>
      <c r="AR4" s="1">
        <v>541</v>
      </c>
      <c r="AS4" s="1">
        <v>749</v>
      </c>
      <c r="AT4" s="1">
        <v>2010</v>
      </c>
      <c r="AU4" s="1">
        <v>1769</v>
      </c>
      <c r="AV4" s="1">
        <v>447</v>
      </c>
      <c r="AW4" s="1">
        <v>1779</v>
      </c>
      <c r="AX4" s="1">
        <v>1564</v>
      </c>
      <c r="AY4" s="1">
        <v>855</v>
      </c>
      <c r="AZ4" s="1">
        <v>1262</v>
      </c>
      <c r="BA4" s="1">
        <v>679</v>
      </c>
      <c r="BB4" s="1">
        <v>1241</v>
      </c>
      <c r="BC4" s="1">
        <v>1748</v>
      </c>
      <c r="BD4" s="1">
        <v>1958</v>
      </c>
      <c r="BE4" s="1">
        <v>1706</v>
      </c>
      <c r="BF4" s="1">
        <v>623</v>
      </c>
      <c r="BG4" s="1">
        <v>1158</v>
      </c>
      <c r="BH4" s="1">
        <v>1027</v>
      </c>
      <c r="BI4" s="1">
        <v>519</v>
      </c>
      <c r="BJ4" s="1">
        <v>1889</v>
      </c>
      <c r="BK4" s="1">
        <v>1776</v>
      </c>
      <c r="BL4" s="1">
        <v>1314</v>
      </c>
      <c r="BM4" s="1">
        <v>1352</v>
      </c>
      <c r="BN4" s="1">
        <v>1045</v>
      </c>
      <c r="BO4" s="1">
        <v>101</v>
      </c>
    </row>
    <row r="5" spans="1:68" x14ac:dyDescent="0.3">
      <c r="A5" s="20"/>
      <c r="B5" s="1">
        <v>1927</v>
      </c>
      <c r="C5" s="1">
        <v>2054.4</v>
      </c>
      <c r="D5" s="1">
        <v>1590.4</v>
      </c>
      <c r="E5" s="1">
        <v>1512.5</v>
      </c>
      <c r="F5" s="1">
        <v>1386.1</v>
      </c>
      <c r="G5" s="1" t="s">
        <v>10</v>
      </c>
      <c r="I5" s="1" t="s">
        <v>5</v>
      </c>
      <c r="J5" s="1">
        <v>1036</v>
      </c>
      <c r="K5" s="1">
        <v>1484</v>
      </c>
      <c r="L5" s="1">
        <v>1186</v>
      </c>
      <c r="M5" s="1">
        <v>783</v>
      </c>
      <c r="N5" s="1">
        <v>852</v>
      </c>
      <c r="O5" s="1">
        <v>789</v>
      </c>
      <c r="P5" s="1" t="s">
        <v>8</v>
      </c>
      <c r="R5" s="1" t="s">
        <v>14</v>
      </c>
      <c r="S5" s="1">
        <v>1736</v>
      </c>
      <c r="T5" s="1">
        <v>663</v>
      </c>
      <c r="U5" s="1">
        <v>1478</v>
      </c>
      <c r="V5" s="1">
        <v>688</v>
      </c>
      <c r="W5" s="1">
        <v>519</v>
      </c>
      <c r="X5" s="1">
        <v>2233</v>
      </c>
      <c r="Y5" s="1">
        <v>2135</v>
      </c>
      <c r="Z5" s="1">
        <v>2080</v>
      </c>
      <c r="AA5" s="1">
        <v>2217</v>
      </c>
      <c r="AB5" s="1">
        <v>1871</v>
      </c>
      <c r="AC5" s="1">
        <v>339</v>
      </c>
      <c r="AD5" s="1">
        <v>1399</v>
      </c>
      <c r="AE5" s="1">
        <v>1521</v>
      </c>
      <c r="AF5" s="1">
        <v>1066</v>
      </c>
      <c r="AG5" s="1">
        <v>1029</v>
      </c>
      <c r="AH5" s="1">
        <v>1578</v>
      </c>
      <c r="AI5" s="1">
        <v>1735</v>
      </c>
      <c r="AJ5" s="1">
        <v>2466</v>
      </c>
      <c r="AK5" s="1">
        <v>2086</v>
      </c>
      <c r="AL5" s="1">
        <v>2367</v>
      </c>
      <c r="AM5" s="1">
        <v>1665</v>
      </c>
      <c r="AN5" s="1">
        <v>1244</v>
      </c>
      <c r="AO5" s="1">
        <v>1648</v>
      </c>
      <c r="AP5" s="1">
        <v>1073</v>
      </c>
      <c r="AQ5" s="1">
        <v>549</v>
      </c>
      <c r="AR5" s="1">
        <v>936</v>
      </c>
      <c r="AS5" s="1">
        <v>421</v>
      </c>
      <c r="AT5" s="1">
        <v>2404</v>
      </c>
      <c r="AU5" s="1">
        <v>2164</v>
      </c>
      <c r="AV5" s="1">
        <v>598</v>
      </c>
      <c r="AW5" s="1">
        <v>2179</v>
      </c>
      <c r="AX5" s="1">
        <v>2033</v>
      </c>
      <c r="AY5" s="1">
        <v>1117</v>
      </c>
      <c r="AZ5" s="1">
        <v>1692</v>
      </c>
      <c r="BA5" s="1">
        <v>1187</v>
      </c>
      <c r="BB5" s="1">
        <v>766</v>
      </c>
      <c r="BC5" s="1">
        <v>2142</v>
      </c>
      <c r="BD5" s="1">
        <v>2352</v>
      </c>
      <c r="BE5" s="1">
        <v>2175</v>
      </c>
      <c r="BF5" s="1">
        <v>961</v>
      </c>
      <c r="BG5" s="1">
        <v>1627</v>
      </c>
      <c r="BH5" s="1">
        <v>1477</v>
      </c>
      <c r="BI5" s="1">
        <v>0</v>
      </c>
      <c r="BJ5" s="1">
        <v>2283</v>
      </c>
      <c r="BK5" s="1">
        <v>2245</v>
      </c>
      <c r="BL5" s="1">
        <v>840</v>
      </c>
      <c r="BM5" s="1">
        <v>1823</v>
      </c>
      <c r="BN5" s="1">
        <v>1440</v>
      </c>
      <c r="BO5" s="1">
        <v>440</v>
      </c>
    </row>
    <row r="6" spans="1:68" x14ac:dyDescent="0.3">
      <c r="I6" s="1" t="s">
        <v>6</v>
      </c>
      <c r="J6" s="1">
        <v>1867</v>
      </c>
      <c r="K6" s="1">
        <v>2343</v>
      </c>
      <c r="L6" s="1">
        <v>1601</v>
      </c>
      <c r="M6" s="1">
        <v>1026</v>
      </c>
      <c r="N6" s="1">
        <v>721</v>
      </c>
      <c r="O6" s="1">
        <v>465</v>
      </c>
      <c r="P6" s="1" t="s">
        <v>8</v>
      </c>
      <c r="R6" s="1" t="s">
        <v>15</v>
      </c>
      <c r="S6" s="1">
        <v>992</v>
      </c>
      <c r="T6" s="1">
        <v>1642</v>
      </c>
      <c r="U6" s="1">
        <v>861</v>
      </c>
      <c r="V6" s="1">
        <v>1926</v>
      </c>
      <c r="W6" s="1">
        <v>914</v>
      </c>
      <c r="X6" s="1">
        <v>1256</v>
      </c>
      <c r="Y6" s="1">
        <v>1158</v>
      </c>
      <c r="Z6" s="1">
        <v>1108</v>
      </c>
      <c r="AA6" s="1">
        <v>1472</v>
      </c>
      <c r="AB6" s="1">
        <v>1127</v>
      </c>
      <c r="AC6" s="1">
        <v>1452</v>
      </c>
      <c r="AD6" s="1">
        <v>408</v>
      </c>
      <c r="AE6" s="1">
        <v>591</v>
      </c>
      <c r="AF6" s="1">
        <v>244</v>
      </c>
      <c r="AG6" s="1">
        <v>633</v>
      </c>
      <c r="AH6" s="1">
        <v>708</v>
      </c>
      <c r="AI6" s="1">
        <v>1221</v>
      </c>
      <c r="AJ6" s="1">
        <v>1489</v>
      </c>
      <c r="AK6" s="1">
        <v>1109</v>
      </c>
      <c r="AL6" s="1">
        <v>1390</v>
      </c>
      <c r="AM6" s="1">
        <v>693</v>
      </c>
      <c r="AN6" s="1">
        <v>0</v>
      </c>
      <c r="AO6" s="1">
        <v>1035</v>
      </c>
      <c r="AP6" s="1">
        <v>436</v>
      </c>
      <c r="AQ6" s="1">
        <v>840</v>
      </c>
      <c r="AR6" s="1">
        <v>378</v>
      </c>
      <c r="AS6" s="1">
        <v>1659</v>
      </c>
      <c r="AT6" s="1">
        <v>1427</v>
      </c>
      <c r="AU6" s="1">
        <v>1187</v>
      </c>
      <c r="AV6" s="1">
        <v>1226</v>
      </c>
      <c r="AW6" s="1">
        <v>1196</v>
      </c>
      <c r="AX6" s="1">
        <v>1163</v>
      </c>
      <c r="AY6" s="1">
        <v>235</v>
      </c>
      <c r="AZ6" s="1">
        <v>764</v>
      </c>
      <c r="BA6" s="1">
        <v>787</v>
      </c>
      <c r="BB6" s="1">
        <v>1730</v>
      </c>
      <c r="BC6" s="1">
        <v>1165</v>
      </c>
      <c r="BD6" s="1">
        <v>1375</v>
      </c>
      <c r="BE6" s="1">
        <v>1322</v>
      </c>
      <c r="BF6" s="1">
        <v>237</v>
      </c>
      <c r="BG6" s="1">
        <v>883</v>
      </c>
      <c r="BH6" s="1">
        <v>1176</v>
      </c>
      <c r="BI6" s="1">
        <v>1244</v>
      </c>
      <c r="BJ6" s="1">
        <v>1306</v>
      </c>
      <c r="BK6" s="1">
        <v>1306</v>
      </c>
      <c r="BL6" s="1">
        <v>1640</v>
      </c>
      <c r="BM6" s="1">
        <v>888</v>
      </c>
      <c r="BN6" s="1">
        <v>377</v>
      </c>
      <c r="BO6" s="1">
        <v>810</v>
      </c>
    </row>
    <row r="7" spans="1:68" x14ac:dyDescent="0.3">
      <c r="I7" s="1" t="s">
        <v>7</v>
      </c>
      <c r="J7" s="1">
        <v>1780</v>
      </c>
      <c r="K7" s="1">
        <v>2174</v>
      </c>
      <c r="L7" s="1">
        <v>1209</v>
      </c>
      <c r="M7" s="1">
        <v>972</v>
      </c>
      <c r="N7" s="1">
        <v>891</v>
      </c>
      <c r="O7" s="1">
        <v>865</v>
      </c>
      <c r="P7" s="1" t="s">
        <v>8</v>
      </c>
      <c r="R7" s="1" t="s">
        <v>16</v>
      </c>
      <c r="S7" s="1">
        <v>419</v>
      </c>
      <c r="T7" s="1">
        <v>1457</v>
      </c>
      <c r="U7" s="1">
        <v>347</v>
      </c>
      <c r="V7" s="1">
        <v>1826</v>
      </c>
      <c r="W7" s="1">
        <v>849</v>
      </c>
      <c r="X7" s="1">
        <v>1039</v>
      </c>
      <c r="Y7" s="1">
        <v>881</v>
      </c>
      <c r="Z7" s="1">
        <v>821</v>
      </c>
      <c r="AA7" s="1">
        <v>899</v>
      </c>
      <c r="AB7" s="1">
        <v>554</v>
      </c>
      <c r="AC7" s="1">
        <v>1615</v>
      </c>
      <c r="AD7" s="1">
        <v>297</v>
      </c>
      <c r="AE7" s="1">
        <v>243</v>
      </c>
      <c r="AF7" s="1">
        <v>341</v>
      </c>
      <c r="AG7" s="1">
        <v>441</v>
      </c>
      <c r="AH7" s="1">
        <v>260</v>
      </c>
      <c r="AI7" s="1">
        <v>676</v>
      </c>
      <c r="AJ7" s="1">
        <v>1293</v>
      </c>
      <c r="AK7" s="1">
        <v>823</v>
      </c>
      <c r="AL7" s="1">
        <v>1195</v>
      </c>
      <c r="AM7" s="1">
        <v>531</v>
      </c>
      <c r="AN7" s="1">
        <v>559</v>
      </c>
      <c r="AO7" s="1">
        <v>490</v>
      </c>
      <c r="AP7" s="1">
        <v>248</v>
      </c>
      <c r="AQ7" s="1">
        <v>1267</v>
      </c>
      <c r="AR7" s="1">
        <v>432</v>
      </c>
      <c r="AS7" s="1">
        <v>1615</v>
      </c>
      <c r="AT7" s="1">
        <v>1219</v>
      </c>
      <c r="AU7" s="1">
        <v>969</v>
      </c>
      <c r="AV7" s="1">
        <v>1042</v>
      </c>
      <c r="AW7" s="1">
        <v>979</v>
      </c>
      <c r="AX7" s="1">
        <v>715</v>
      </c>
      <c r="AY7" s="1">
        <v>793</v>
      </c>
      <c r="AZ7" s="1">
        <v>420</v>
      </c>
      <c r="BA7" s="1">
        <v>498</v>
      </c>
      <c r="BB7" s="1">
        <v>2042</v>
      </c>
      <c r="BC7" s="1">
        <v>888</v>
      </c>
      <c r="BD7" s="1">
        <v>1157</v>
      </c>
      <c r="BE7" s="1">
        <v>857</v>
      </c>
      <c r="BF7" s="1">
        <v>610</v>
      </c>
      <c r="BG7" s="1">
        <v>309</v>
      </c>
      <c r="BH7" s="1">
        <v>777</v>
      </c>
      <c r="BI7" s="1">
        <v>1320</v>
      </c>
      <c r="BJ7" s="1">
        <v>1111</v>
      </c>
      <c r="BK7" s="1">
        <v>927</v>
      </c>
      <c r="BL7" s="1">
        <v>2084</v>
      </c>
      <c r="BM7" s="1">
        <v>506</v>
      </c>
      <c r="BN7" s="1">
        <v>373</v>
      </c>
      <c r="BO7" s="1">
        <v>883</v>
      </c>
    </row>
    <row r="8" spans="1:68" x14ac:dyDescent="0.3">
      <c r="R8" s="1" t="s">
        <v>17</v>
      </c>
      <c r="S8" s="1">
        <v>111</v>
      </c>
      <c r="T8" s="1">
        <v>1636</v>
      </c>
      <c r="U8" s="1">
        <v>349</v>
      </c>
      <c r="V8" s="1">
        <v>2004</v>
      </c>
      <c r="W8" s="1">
        <v>1156</v>
      </c>
      <c r="X8" s="1">
        <v>112</v>
      </c>
      <c r="Y8" s="1">
        <v>325</v>
      </c>
      <c r="Z8" s="1">
        <v>666</v>
      </c>
      <c r="AA8" s="1">
        <v>592</v>
      </c>
      <c r="AB8" s="1">
        <v>248</v>
      </c>
      <c r="AC8" s="1">
        <v>1922</v>
      </c>
      <c r="AD8" s="1">
        <v>474</v>
      </c>
      <c r="AE8" s="1">
        <v>288</v>
      </c>
      <c r="AF8" s="1">
        <v>648</v>
      </c>
      <c r="AG8" s="1">
        <v>672</v>
      </c>
      <c r="AH8" s="1">
        <v>176</v>
      </c>
      <c r="AI8" s="1">
        <v>533</v>
      </c>
      <c r="AJ8" s="1">
        <v>1196</v>
      </c>
      <c r="AK8" s="1">
        <v>704</v>
      </c>
      <c r="AL8" s="1">
        <v>1098</v>
      </c>
      <c r="AM8" s="1">
        <v>533</v>
      </c>
      <c r="AN8" s="1">
        <v>883</v>
      </c>
      <c r="AO8" s="1">
        <v>415</v>
      </c>
      <c r="AP8" s="1">
        <v>554</v>
      </c>
      <c r="AQ8" s="1">
        <v>1574</v>
      </c>
      <c r="AR8" s="1">
        <v>739</v>
      </c>
      <c r="AS8" s="1">
        <v>1793</v>
      </c>
      <c r="AT8" s="1">
        <v>1135</v>
      </c>
      <c r="AU8" s="1">
        <v>418</v>
      </c>
      <c r="AV8" s="1">
        <v>1220</v>
      </c>
      <c r="AW8" s="1">
        <v>885</v>
      </c>
      <c r="AX8" s="1">
        <v>409</v>
      </c>
      <c r="AY8" s="1">
        <v>1117</v>
      </c>
      <c r="AZ8" s="1">
        <v>377</v>
      </c>
      <c r="BA8" s="1">
        <v>678</v>
      </c>
      <c r="BB8" s="1">
        <v>2348</v>
      </c>
      <c r="BC8" s="1">
        <v>805</v>
      </c>
      <c r="BD8" s="1">
        <v>1065</v>
      </c>
      <c r="BE8" s="1">
        <v>551</v>
      </c>
      <c r="BF8" s="1">
        <v>917</v>
      </c>
      <c r="BG8" s="1">
        <v>0</v>
      </c>
      <c r="BH8" s="1">
        <v>779</v>
      </c>
      <c r="BI8" s="1">
        <v>1626</v>
      </c>
      <c r="BJ8" s="1">
        <v>1070</v>
      </c>
      <c r="BK8" s="1">
        <v>718</v>
      </c>
      <c r="BL8" s="1">
        <v>2391</v>
      </c>
      <c r="BM8" s="1">
        <v>390</v>
      </c>
      <c r="BN8" s="1">
        <v>572</v>
      </c>
      <c r="BO8" s="1">
        <v>1189</v>
      </c>
    </row>
    <row r="9" spans="1:68" x14ac:dyDescent="0.3">
      <c r="R9" s="1" t="s">
        <v>18</v>
      </c>
      <c r="S9" s="1">
        <v>180</v>
      </c>
      <c r="T9" s="1">
        <v>1846</v>
      </c>
      <c r="U9" s="1">
        <v>532</v>
      </c>
      <c r="V9" s="1">
        <v>2187</v>
      </c>
      <c r="W9" s="1">
        <v>1402</v>
      </c>
      <c r="X9" s="1">
        <v>924</v>
      </c>
      <c r="Y9" s="1">
        <v>746</v>
      </c>
      <c r="Z9" s="1">
        <v>638</v>
      </c>
      <c r="AA9" s="1">
        <v>346</v>
      </c>
      <c r="AB9" s="1">
        <v>0</v>
      </c>
      <c r="AC9" s="1">
        <v>2169</v>
      </c>
      <c r="AD9" s="1">
        <v>687</v>
      </c>
      <c r="AE9" s="1">
        <v>534</v>
      </c>
      <c r="AF9" s="1">
        <v>895</v>
      </c>
      <c r="AG9" s="1">
        <v>972</v>
      </c>
      <c r="AH9" s="1">
        <v>421</v>
      </c>
      <c r="AI9" s="1">
        <v>470</v>
      </c>
      <c r="AJ9" s="1">
        <v>1174</v>
      </c>
      <c r="AK9" s="1">
        <v>677</v>
      </c>
      <c r="AL9" s="1">
        <v>1076</v>
      </c>
      <c r="AM9" s="1">
        <v>722</v>
      </c>
      <c r="AN9" s="1">
        <v>1130</v>
      </c>
      <c r="AO9" s="1">
        <v>346</v>
      </c>
      <c r="AP9" s="1">
        <v>801</v>
      </c>
      <c r="AQ9" s="1">
        <v>1820</v>
      </c>
      <c r="AR9" s="1">
        <v>985</v>
      </c>
      <c r="AS9" s="1">
        <v>1976</v>
      </c>
      <c r="AT9" s="1">
        <v>1113</v>
      </c>
      <c r="AU9" s="1">
        <v>854</v>
      </c>
      <c r="AV9" s="1">
        <v>1403</v>
      </c>
      <c r="AW9" s="1">
        <v>866</v>
      </c>
      <c r="AX9" s="1">
        <v>245</v>
      </c>
      <c r="AY9" s="1">
        <v>1364</v>
      </c>
      <c r="AZ9" s="1">
        <v>107</v>
      </c>
      <c r="BA9" s="1">
        <v>861</v>
      </c>
      <c r="BB9" s="1">
        <v>2596</v>
      </c>
      <c r="BC9" s="1">
        <v>777</v>
      </c>
      <c r="BD9" s="1">
        <v>1043</v>
      </c>
      <c r="BE9" s="1">
        <v>305</v>
      </c>
      <c r="BF9" s="1">
        <v>1163</v>
      </c>
      <c r="BG9" s="1">
        <v>250</v>
      </c>
      <c r="BH9" s="1">
        <v>793</v>
      </c>
      <c r="BI9" s="1">
        <v>1873</v>
      </c>
      <c r="BJ9" s="1">
        <v>1149</v>
      </c>
      <c r="BK9" s="1">
        <v>581</v>
      </c>
      <c r="BL9" s="1">
        <v>2636</v>
      </c>
      <c r="BM9" s="1">
        <v>502</v>
      </c>
      <c r="BN9" s="1">
        <v>777</v>
      </c>
      <c r="BO9" s="1">
        <v>1436</v>
      </c>
    </row>
    <row r="10" spans="1:68" x14ac:dyDescent="0.3">
      <c r="R10" s="1" t="s">
        <v>126</v>
      </c>
      <c r="S10" s="4">
        <v>66</v>
      </c>
      <c r="T10" s="4">
        <v>250</v>
      </c>
      <c r="U10" s="4">
        <v>73</v>
      </c>
      <c r="V10" s="4">
        <v>2962</v>
      </c>
      <c r="W10" s="4">
        <v>268</v>
      </c>
      <c r="X10" s="4">
        <v>118</v>
      </c>
      <c r="Y10" s="4">
        <v>90</v>
      </c>
      <c r="Z10" s="4">
        <v>13</v>
      </c>
      <c r="AA10" s="4">
        <v>448</v>
      </c>
      <c r="AB10" s="4">
        <v>273</v>
      </c>
      <c r="AC10" s="4">
        <v>28</v>
      </c>
      <c r="AD10" s="4">
        <v>670</v>
      </c>
      <c r="AE10" s="4">
        <v>258</v>
      </c>
      <c r="AF10" s="4">
        <v>57</v>
      </c>
      <c r="AG10" s="4">
        <v>29</v>
      </c>
      <c r="AH10" s="4">
        <v>175</v>
      </c>
      <c r="AI10" s="4">
        <v>39</v>
      </c>
      <c r="AJ10" s="4">
        <v>0</v>
      </c>
      <c r="AK10" s="4">
        <v>167</v>
      </c>
      <c r="AL10" s="4">
        <v>141</v>
      </c>
      <c r="AM10" s="4">
        <v>306</v>
      </c>
      <c r="AN10" s="4">
        <v>121</v>
      </c>
      <c r="AO10" s="4">
        <v>97</v>
      </c>
      <c r="AP10" s="4">
        <v>127</v>
      </c>
      <c r="AQ10" s="4">
        <v>12</v>
      </c>
      <c r="AR10" s="4">
        <v>50</v>
      </c>
      <c r="AS10" s="4">
        <v>33</v>
      </c>
      <c r="AT10" s="4">
        <v>36</v>
      </c>
      <c r="AU10" s="4">
        <v>189</v>
      </c>
      <c r="AV10" s="4">
        <v>97</v>
      </c>
      <c r="AW10" s="4">
        <v>1498</v>
      </c>
      <c r="AX10" s="4">
        <v>395</v>
      </c>
      <c r="AY10" s="4">
        <v>27</v>
      </c>
      <c r="AZ10" s="4">
        <v>680</v>
      </c>
      <c r="BA10" s="4">
        <v>102</v>
      </c>
      <c r="BB10" s="4">
        <v>100</v>
      </c>
      <c r="BC10" s="4">
        <v>784</v>
      </c>
      <c r="BD10" s="4">
        <v>94</v>
      </c>
      <c r="BE10" s="4">
        <v>32</v>
      </c>
      <c r="BF10" s="4">
        <v>32</v>
      </c>
      <c r="BG10" s="4">
        <v>351</v>
      </c>
      <c r="BH10" s="4">
        <v>1246</v>
      </c>
      <c r="BI10" s="4">
        <v>39</v>
      </c>
      <c r="BJ10" s="4">
        <v>25</v>
      </c>
      <c r="BK10" s="4">
        <v>155</v>
      </c>
      <c r="BL10" s="4">
        <v>903</v>
      </c>
      <c r="BM10" s="4">
        <v>20</v>
      </c>
      <c r="BN10" s="4">
        <v>175</v>
      </c>
      <c r="BO10" s="4">
        <v>1</v>
      </c>
      <c r="BP10" s="7">
        <f>SUM(S10:BO10)</f>
        <v>13852</v>
      </c>
    </row>
    <row r="11" spans="1:68" x14ac:dyDescent="0.3">
      <c r="Q11" s="2"/>
      <c r="R11" s="3"/>
      <c r="S11" s="2"/>
    </row>
    <row r="12" spans="1:68" x14ac:dyDescent="0.3">
      <c r="A12" s="10" t="s">
        <v>122</v>
      </c>
      <c r="B12" s="14" t="s">
        <v>12</v>
      </c>
      <c r="C12" s="14"/>
      <c r="D12" s="14"/>
      <c r="E12" s="14"/>
      <c r="F12" s="14"/>
      <c r="G12" s="14"/>
      <c r="H12" s="2"/>
      <c r="I12" s="2"/>
      <c r="J12" s="15"/>
      <c r="K12" s="6"/>
      <c r="Q12" s="2"/>
      <c r="R12" s="3"/>
      <c r="S12" s="2"/>
    </row>
    <row r="13" spans="1:68" x14ac:dyDescent="0.3">
      <c r="A13" s="1" t="s">
        <v>11</v>
      </c>
      <c r="B13" s="1" t="s">
        <v>13</v>
      </c>
      <c r="C13" s="1" t="s">
        <v>14</v>
      </c>
      <c r="D13" s="1" t="s">
        <v>15</v>
      </c>
      <c r="E13" s="1" t="s">
        <v>16</v>
      </c>
      <c r="F13" s="1" t="s">
        <v>17</v>
      </c>
      <c r="G13" s="1" t="s">
        <v>18</v>
      </c>
      <c r="H13" s="2"/>
      <c r="I13" s="2"/>
      <c r="J13" s="15"/>
      <c r="K13" s="6"/>
    </row>
    <row r="14" spans="1:68" x14ac:dyDescent="0.3">
      <c r="A14" s="1" t="s">
        <v>3</v>
      </c>
      <c r="B14" s="1">
        <f>B5+J3</f>
        <v>2962</v>
      </c>
      <c r="C14" s="1">
        <f>B5+K3</f>
        <v>2635</v>
      </c>
      <c r="D14" s="1">
        <f>B5+L3</f>
        <v>3872</v>
      </c>
      <c r="E14" s="1">
        <f>B5+M3</f>
        <v>3767</v>
      </c>
      <c r="F14" s="1">
        <f>B5+N3</f>
        <v>3950</v>
      </c>
      <c r="G14" s="1">
        <f>B5+O3</f>
        <v>4124</v>
      </c>
      <c r="H14" s="2"/>
      <c r="I14" s="2"/>
      <c r="J14" s="2"/>
    </row>
    <row r="15" spans="1:68" x14ac:dyDescent="0.3">
      <c r="A15" s="1" t="s">
        <v>4</v>
      </c>
      <c r="B15" s="1">
        <f>C5+J4</f>
        <v>3360.4</v>
      </c>
      <c r="C15" s="1">
        <f>C5+K4</f>
        <v>2885.4</v>
      </c>
      <c r="D15" s="1">
        <f>C5+L4</f>
        <v>3711.4</v>
      </c>
      <c r="E15" s="1">
        <f>C5+M4</f>
        <v>4138.3999999999996</v>
      </c>
      <c r="F15" s="1">
        <f>C5+N4</f>
        <v>4446.3999999999996</v>
      </c>
      <c r="G15" s="1">
        <f>C5+O4</f>
        <v>4690.3999999999996</v>
      </c>
      <c r="H15" s="2"/>
      <c r="I15" s="2"/>
      <c r="J15" s="2"/>
    </row>
    <row r="16" spans="1:68" x14ac:dyDescent="0.3">
      <c r="A16" s="1" t="s">
        <v>5</v>
      </c>
      <c r="B16" s="1">
        <f>D5+J5</f>
        <v>2626.4</v>
      </c>
      <c r="C16" s="1">
        <f>D5+K5</f>
        <v>3074.4</v>
      </c>
      <c r="D16" s="1">
        <f>D5+L5</f>
        <v>2776.4</v>
      </c>
      <c r="E16" s="1">
        <f>D5+M5</f>
        <v>2373.4</v>
      </c>
      <c r="F16" s="1">
        <f>D5+N5</f>
        <v>2442.4</v>
      </c>
      <c r="G16" s="1">
        <f>D5+O5</f>
        <v>2379.4</v>
      </c>
      <c r="H16" s="2"/>
      <c r="I16" s="2"/>
      <c r="J16" s="2"/>
    </row>
    <row r="17" spans="1:53" x14ac:dyDescent="0.3">
      <c r="A17" s="1" t="s">
        <v>6</v>
      </c>
      <c r="B17" s="1">
        <f>E5+J6</f>
        <v>3379.5</v>
      </c>
      <c r="C17" s="1">
        <f>E5+K6</f>
        <v>3855.5</v>
      </c>
      <c r="D17" s="1">
        <f>E5+L6</f>
        <v>3113.5</v>
      </c>
      <c r="E17" s="1">
        <f>E5+M6</f>
        <v>2538.5</v>
      </c>
      <c r="F17" s="1">
        <f>E5+N6</f>
        <v>2233.5</v>
      </c>
      <c r="G17" s="1">
        <f>E5+O6</f>
        <v>1977.5</v>
      </c>
      <c r="H17" s="2"/>
      <c r="I17" s="2"/>
      <c r="J17" s="2"/>
    </row>
    <row r="18" spans="1:53" x14ac:dyDescent="0.3">
      <c r="A18" s="1" t="s">
        <v>7</v>
      </c>
      <c r="B18" s="1">
        <f>F5+J7</f>
        <v>3166.1</v>
      </c>
      <c r="C18" s="1">
        <f>F5+K7</f>
        <v>3560.1</v>
      </c>
      <c r="D18" s="1">
        <f>F5+L7</f>
        <v>2595.1</v>
      </c>
      <c r="E18" s="1">
        <f>F5+M7</f>
        <v>2358.1</v>
      </c>
      <c r="F18" s="1">
        <f>F5+N7</f>
        <v>2277.1</v>
      </c>
      <c r="G18" s="1">
        <f>F5+O7</f>
        <v>2251.1</v>
      </c>
      <c r="H18" s="2"/>
      <c r="I18" s="2"/>
      <c r="J18" s="2"/>
    </row>
    <row r="20" spans="1:53" x14ac:dyDescent="0.3">
      <c r="A20" s="10" t="s">
        <v>115</v>
      </c>
      <c r="B20" s="14" t="s">
        <v>113</v>
      </c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</row>
    <row r="21" spans="1:53" x14ac:dyDescent="0.3">
      <c r="A21" s="16" t="s">
        <v>12</v>
      </c>
      <c r="B21" s="1" t="s">
        <v>64</v>
      </c>
      <c r="C21" s="1" t="s">
        <v>65</v>
      </c>
      <c r="D21" s="1" t="s">
        <v>66</v>
      </c>
      <c r="E21" s="1" t="s">
        <v>67</v>
      </c>
      <c r="F21" s="1" t="s">
        <v>68</v>
      </c>
      <c r="G21" s="1" t="s">
        <v>69</v>
      </c>
      <c r="H21" s="1" t="s">
        <v>70</v>
      </c>
      <c r="I21" s="1" t="s">
        <v>71</v>
      </c>
      <c r="J21" s="1" t="s">
        <v>72</v>
      </c>
      <c r="K21" s="1" t="s">
        <v>73</v>
      </c>
      <c r="L21" s="1" t="s">
        <v>74</v>
      </c>
      <c r="M21" s="1" t="s">
        <v>75</v>
      </c>
      <c r="N21" s="1" t="s">
        <v>76</v>
      </c>
      <c r="O21" s="1" t="s">
        <v>77</v>
      </c>
      <c r="P21" s="1" t="s">
        <v>78</v>
      </c>
      <c r="Q21" s="1" t="s">
        <v>79</v>
      </c>
      <c r="R21" s="1" t="s">
        <v>80</v>
      </c>
      <c r="S21" s="1" t="s">
        <v>81</v>
      </c>
      <c r="T21" s="1" t="s">
        <v>82</v>
      </c>
      <c r="U21" s="1" t="s">
        <v>83</v>
      </c>
      <c r="V21" s="1" t="s">
        <v>84</v>
      </c>
      <c r="W21" s="1" t="s">
        <v>85</v>
      </c>
      <c r="X21" s="1" t="s">
        <v>86</v>
      </c>
      <c r="Y21" s="1" t="s">
        <v>87</v>
      </c>
      <c r="Z21" s="1" t="s">
        <v>88</v>
      </c>
      <c r="AA21" s="1" t="s">
        <v>89</v>
      </c>
      <c r="AB21" s="1" t="s">
        <v>90</v>
      </c>
      <c r="AC21" s="1" t="s">
        <v>91</v>
      </c>
      <c r="AD21" s="1" t="s">
        <v>92</v>
      </c>
      <c r="AE21" s="1" t="s">
        <v>93</v>
      </c>
      <c r="AF21" s="1" t="s">
        <v>94</v>
      </c>
      <c r="AG21" s="1" t="s">
        <v>95</v>
      </c>
      <c r="AH21" s="1" t="s">
        <v>96</v>
      </c>
      <c r="AI21" s="1" t="s">
        <v>97</v>
      </c>
      <c r="AJ21" s="1" t="s">
        <v>98</v>
      </c>
      <c r="AK21" s="1" t="s">
        <v>99</v>
      </c>
      <c r="AL21" s="1" t="s">
        <v>100</v>
      </c>
      <c r="AM21" s="1" t="s">
        <v>101</v>
      </c>
      <c r="AN21" s="1" t="s">
        <v>102</v>
      </c>
      <c r="AO21" s="1" t="s">
        <v>103</v>
      </c>
      <c r="AP21" s="1" t="s">
        <v>104</v>
      </c>
      <c r="AQ21" s="1" t="s">
        <v>105</v>
      </c>
      <c r="AR21" s="1" t="s">
        <v>106</v>
      </c>
      <c r="AS21" s="1" t="s">
        <v>107</v>
      </c>
      <c r="AT21" s="1" t="s">
        <v>108</v>
      </c>
      <c r="AU21" s="1" t="s">
        <v>109</v>
      </c>
      <c r="AV21" s="1" t="s">
        <v>110</v>
      </c>
      <c r="AW21" s="1" t="s">
        <v>111</v>
      </c>
      <c r="AX21" s="1" t="s">
        <v>112</v>
      </c>
      <c r="AY21" s="18" t="s">
        <v>118</v>
      </c>
      <c r="BA21" s="19" t="s">
        <v>114</v>
      </c>
    </row>
    <row r="22" spans="1:53" x14ac:dyDescent="0.3">
      <c r="A22" s="17"/>
      <c r="B22" s="1" t="s">
        <v>19</v>
      </c>
      <c r="C22" s="1" t="s">
        <v>20</v>
      </c>
      <c r="D22" s="1" t="s">
        <v>21</v>
      </c>
      <c r="E22" s="1" t="s">
        <v>22</v>
      </c>
      <c r="F22" s="1" t="s">
        <v>13</v>
      </c>
      <c r="G22" s="1" t="s">
        <v>23</v>
      </c>
      <c r="H22" s="1" t="s">
        <v>24</v>
      </c>
      <c r="I22" s="1" t="s">
        <v>25</v>
      </c>
      <c r="J22" s="1" t="s">
        <v>26</v>
      </c>
      <c r="K22" s="1" t="s">
        <v>18</v>
      </c>
      <c r="L22" s="1" t="s">
        <v>27</v>
      </c>
      <c r="M22" s="1" t="s">
        <v>28</v>
      </c>
      <c r="N22" s="1" t="s">
        <v>29</v>
      </c>
      <c r="O22" s="1" t="s">
        <v>30</v>
      </c>
      <c r="P22" s="1" t="s">
        <v>31</v>
      </c>
      <c r="Q22" s="1" t="s">
        <v>32</v>
      </c>
      <c r="R22" s="1" t="s">
        <v>33</v>
      </c>
      <c r="S22" s="1" t="s">
        <v>34</v>
      </c>
      <c r="T22" s="1" t="s">
        <v>35</v>
      </c>
      <c r="U22" s="1" t="s">
        <v>36</v>
      </c>
      <c r="V22" s="1" t="s">
        <v>37</v>
      </c>
      <c r="W22" s="1" t="s">
        <v>38</v>
      </c>
      <c r="X22" s="1" t="s">
        <v>39</v>
      </c>
      <c r="Y22" s="1" t="s">
        <v>40</v>
      </c>
      <c r="Z22" s="1" t="s">
        <v>41</v>
      </c>
      <c r="AA22" s="1" t="s">
        <v>42</v>
      </c>
      <c r="AB22" s="1" t="s">
        <v>43</v>
      </c>
      <c r="AC22" s="1" t="s">
        <v>44</v>
      </c>
      <c r="AD22" s="1" t="s">
        <v>45</v>
      </c>
      <c r="AE22" s="1" t="s">
        <v>46</v>
      </c>
      <c r="AF22" s="1" t="s">
        <v>47</v>
      </c>
      <c r="AG22" s="1" t="s">
        <v>48</v>
      </c>
      <c r="AH22" s="1" t="s">
        <v>49</v>
      </c>
      <c r="AI22" s="1" t="s">
        <v>50</v>
      </c>
      <c r="AJ22" s="1" t="s">
        <v>51</v>
      </c>
      <c r="AK22" s="1" t="s">
        <v>52</v>
      </c>
      <c r="AL22" s="1" t="s">
        <v>53</v>
      </c>
      <c r="AM22" s="1" t="s">
        <v>54</v>
      </c>
      <c r="AN22" s="1" t="s">
        <v>55</v>
      </c>
      <c r="AO22" s="1" t="s">
        <v>56</v>
      </c>
      <c r="AP22" s="1" t="s">
        <v>17</v>
      </c>
      <c r="AQ22" s="1" t="s">
        <v>57</v>
      </c>
      <c r="AR22" s="1" t="s">
        <v>14</v>
      </c>
      <c r="AS22" s="1" t="s">
        <v>58</v>
      </c>
      <c r="AT22" s="1" t="s">
        <v>59</v>
      </c>
      <c r="AU22" s="1" t="s">
        <v>60</v>
      </c>
      <c r="AV22" s="1" t="s">
        <v>61</v>
      </c>
      <c r="AW22" s="1" t="s">
        <v>62</v>
      </c>
      <c r="AX22" s="1" t="s">
        <v>63</v>
      </c>
      <c r="AY22" s="18"/>
      <c r="BA22" s="19"/>
    </row>
    <row r="23" spans="1:53" x14ac:dyDescent="0.3">
      <c r="A23" s="1" t="s">
        <v>13</v>
      </c>
      <c r="B23" s="1">
        <v>0</v>
      </c>
      <c r="C23" s="1">
        <v>0</v>
      </c>
      <c r="D23" s="1">
        <v>0</v>
      </c>
      <c r="E23" s="1">
        <v>0</v>
      </c>
      <c r="F23" s="1">
        <v>268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12</v>
      </c>
      <c r="AA23" s="1">
        <v>0</v>
      </c>
      <c r="AB23" s="1">
        <v>0</v>
      </c>
      <c r="AC23" s="1">
        <v>0</v>
      </c>
      <c r="AD23" s="1">
        <v>0</v>
      </c>
      <c r="AE23" s="1">
        <v>97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1</v>
      </c>
      <c r="AY23">
        <f>SUM(B23:AX23)</f>
        <v>378</v>
      </c>
      <c r="AZ23" t="s">
        <v>119</v>
      </c>
      <c r="BA23">
        <v>13852</v>
      </c>
    </row>
    <row r="24" spans="1:53" x14ac:dyDescent="0.3">
      <c r="A24" s="1" t="s">
        <v>14</v>
      </c>
      <c r="B24" s="1">
        <v>0</v>
      </c>
      <c r="C24" s="1">
        <v>250</v>
      </c>
      <c r="D24" s="1">
        <v>0</v>
      </c>
      <c r="E24" s="1">
        <v>2962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28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33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100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39</v>
      </c>
      <c r="AS24" s="1">
        <v>0</v>
      </c>
      <c r="AT24" s="1">
        <v>0</v>
      </c>
      <c r="AU24" s="1">
        <v>903</v>
      </c>
      <c r="AV24" s="1">
        <v>0</v>
      </c>
      <c r="AW24" s="1">
        <v>0</v>
      </c>
      <c r="AX24" s="1">
        <v>0</v>
      </c>
      <c r="AY24">
        <f t="shared" ref="AY24:AY28" si="1">SUM(B24:AX24)</f>
        <v>4315</v>
      </c>
      <c r="AZ24" t="s">
        <v>119</v>
      </c>
      <c r="BA24">
        <v>13852</v>
      </c>
    </row>
    <row r="25" spans="1:53" x14ac:dyDescent="0.3">
      <c r="A25" s="1" t="s">
        <v>15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121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27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32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>
        <f t="shared" si="1"/>
        <v>180</v>
      </c>
      <c r="AZ25" t="s">
        <v>119</v>
      </c>
      <c r="BA25">
        <v>13852</v>
      </c>
    </row>
    <row r="26" spans="1:53" x14ac:dyDescent="0.3">
      <c r="A26" s="1" t="s">
        <v>16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670</v>
      </c>
      <c r="N26" s="1">
        <v>0</v>
      </c>
      <c r="O26" s="1">
        <v>57</v>
      </c>
      <c r="P26" s="1">
        <v>29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127</v>
      </c>
      <c r="Z26" s="1">
        <v>0</v>
      </c>
      <c r="AA26" s="1">
        <v>50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175</v>
      </c>
      <c r="AX26" s="1">
        <v>0</v>
      </c>
      <c r="AY26">
        <f t="shared" si="1"/>
        <v>1108</v>
      </c>
      <c r="AZ26" t="s">
        <v>119</v>
      </c>
      <c r="BA26">
        <v>13852</v>
      </c>
    </row>
    <row r="27" spans="1:53" x14ac:dyDescent="0.3">
      <c r="A27" s="1" t="s">
        <v>17</v>
      </c>
      <c r="B27" s="1">
        <v>0</v>
      </c>
      <c r="C27" s="1">
        <v>0</v>
      </c>
      <c r="D27" s="1">
        <v>0</v>
      </c>
      <c r="E27" s="1">
        <v>0</v>
      </c>
      <c r="F27" s="1">
        <v>0</v>
      </c>
      <c r="G27" s="1">
        <v>118</v>
      </c>
      <c r="H27" s="1">
        <v>90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189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>
        <f t="shared" si="1"/>
        <v>397</v>
      </c>
      <c r="AZ27" t="s">
        <v>119</v>
      </c>
      <c r="BA27">
        <v>13852</v>
      </c>
    </row>
    <row r="28" spans="1:53" x14ac:dyDescent="0.3">
      <c r="A28" s="1" t="s">
        <v>18</v>
      </c>
      <c r="B28" s="1">
        <v>66</v>
      </c>
      <c r="C28" s="1">
        <v>0</v>
      </c>
      <c r="D28" s="1">
        <v>73</v>
      </c>
      <c r="E28" s="1">
        <v>0</v>
      </c>
      <c r="F28" s="1">
        <v>0</v>
      </c>
      <c r="G28" s="1">
        <v>0</v>
      </c>
      <c r="H28" s="1">
        <v>0</v>
      </c>
      <c r="I28" s="1">
        <v>13</v>
      </c>
      <c r="J28" s="1">
        <v>448</v>
      </c>
      <c r="K28" s="1">
        <v>273</v>
      </c>
      <c r="L28" s="1">
        <v>0</v>
      </c>
      <c r="M28" s="1">
        <v>0</v>
      </c>
      <c r="N28" s="1">
        <v>258</v>
      </c>
      <c r="O28" s="1">
        <v>0</v>
      </c>
      <c r="P28" s="1">
        <v>0</v>
      </c>
      <c r="Q28" s="1">
        <v>175</v>
      </c>
      <c r="R28" s="1">
        <v>39</v>
      </c>
      <c r="S28" s="1">
        <v>0</v>
      </c>
      <c r="T28" s="1">
        <v>167</v>
      </c>
      <c r="U28" s="1">
        <v>141</v>
      </c>
      <c r="V28" s="1">
        <v>306</v>
      </c>
      <c r="W28" s="1">
        <v>0</v>
      </c>
      <c r="X28" s="1">
        <v>97</v>
      </c>
      <c r="Y28" s="1">
        <v>0</v>
      </c>
      <c r="Z28" s="1">
        <v>0</v>
      </c>
      <c r="AA28" s="1">
        <v>0</v>
      </c>
      <c r="AB28" s="1">
        <v>0</v>
      </c>
      <c r="AC28" s="1">
        <v>36</v>
      </c>
      <c r="AD28" s="1">
        <v>0</v>
      </c>
      <c r="AE28" s="1">
        <v>0</v>
      </c>
      <c r="AF28" s="1">
        <v>1498</v>
      </c>
      <c r="AG28" s="1">
        <v>395</v>
      </c>
      <c r="AH28" s="1">
        <v>0</v>
      </c>
      <c r="AI28" s="1">
        <v>680</v>
      </c>
      <c r="AJ28" s="1">
        <v>102</v>
      </c>
      <c r="AK28" s="1">
        <v>0</v>
      </c>
      <c r="AL28" s="1">
        <v>784</v>
      </c>
      <c r="AM28" s="1">
        <v>94</v>
      </c>
      <c r="AN28" s="1">
        <v>32</v>
      </c>
      <c r="AO28" s="1">
        <v>0</v>
      </c>
      <c r="AP28" s="1">
        <v>351</v>
      </c>
      <c r="AQ28" s="1">
        <v>1246</v>
      </c>
      <c r="AR28" s="1">
        <v>0</v>
      </c>
      <c r="AS28" s="1">
        <v>25</v>
      </c>
      <c r="AT28" s="1">
        <v>155</v>
      </c>
      <c r="AU28" s="1">
        <v>0</v>
      </c>
      <c r="AV28" s="1">
        <v>20</v>
      </c>
      <c r="AW28" s="1">
        <v>0</v>
      </c>
      <c r="AX28" s="1">
        <v>0</v>
      </c>
      <c r="AY28">
        <f t="shared" si="1"/>
        <v>7474</v>
      </c>
      <c r="AZ28" t="s">
        <v>119</v>
      </c>
      <c r="BA28">
        <v>13852</v>
      </c>
    </row>
    <row r="29" spans="1:53" x14ac:dyDescent="0.3">
      <c r="A29" s="1" t="s">
        <v>116</v>
      </c>
      <c r="B29" s="4">
        <f>SUM(B23:B28)</f>
        <v>66</v>
      </c>
      <c r="C29" s="4">
        <f t="shared" ref="C29:AX29" si="2">SUM(C23:C28)</f>
        <v>250</v>
      </c>
      <c r="D29" s="4">
        <f t="shared" si="2"/>
        <v>73</v>
      </c>
      <c r="E29" s="4">
        <f t="shared" si="2"/>
        <v>2962</v>
      </c>
      <c r="F29" s="4">
        <f t="shared" si="2"/>
        <v>268</v>
      </c>
      <c r="G29" s="4">
        <f t="shared" si="2"/>
        <v>118</v>
      </c>
      <c r="H29" s="4">
        <f t="shared" si="2"/>
        <v>90</v>
      </c>
      <c r="I29" s="4">
        <f t="shared" si="2"/>
        <v>13</v>
      </c>
      <c r="J29" s="4">
        <f t="shared" si="2"/>
        <v>448</v>
      </c>
      <c r="K29" s="4">
        <f t="shared" si="2"/>
        <v>273</v>
      </c>
      <c r="L29" s="4">
        <f t="shared" si="2"/>
        <v>28</v>
      </c>
      <c r="M29" s="4">
        <f t="shared" si="2"/>
        <v>670</v>
      </c>
      <c r="N29" s="4">
        <f t="shared" si="2"/>
        <v>258</v>
      </c>
      <c r="O29" s="4">
        <f t="shared" si="2"/>
        <v>57</v>
      </c>
      <c r="P29" s="4">
        <f t="shared" si="2"/>
        <v>29</v>
      </c>
      <c r="Q29" s="4">
        <f t="shared" si="2"/>
        <v>175</v>
      </c>
      <c r="R29" s="4">
        <f t="shared" si="2"/>
        <v>39</v>
      </c>
      <c r="S29" s="4">
        <f t="shared" si="2"/>
        <v>0</v>
      </c>
      <c r="T29" s="4">
        <f t="shared" si="2"/>
        <v>167</v>
      </c>
      <c r="U29" s="4">
        <f t="shared" si="2"/>
        <v>141</v>
      </c>
      <c r="V29" s="4">
        <f t="shared" si="2"/>
        <v>306</v>
      </c>
      <c r="W29" s="4">
        <f t="shared" si="2"/>
        <v>121</v>
      </c>
      <c r="X29" s="4">
        <f t="shared" si="2"/>
        <v>97</v>
      </c>
      <c r="Y29" s="4">
        <f t="shared" si="2"/>
        <v>127</v>
      </c>
      <c r="Z29" s="4">
        <f t="shared" si="2"/>
        <v>12</v>
      </c>
      <c r="AA29" s="4">
        <f t="shared" si="2"/>
        <v>50</v>
      </c>
      <c r="AB29" s="4">
        <f t="shared" si="2"/>
        <v>33</v>
      </c>
      <c r="AC29" s="4">
        <f t="shared" si="2"/>
        <v>36</v>
      </c>
      <c r="AD29" s="4">
        <f t="shared" si="2"/>
        <v>189</v>
      </c>
      <c r="AE29" s="4">
        <f t="shared" si="2"/>
        <v>97</v>
      </c>
      <c r="AF29" s="4">
        <f t="shared" si="2"/>
        <v>1498</v>
      </c>
      <c r="AG29" s="4">
        <f t="shared" si="2"/>
        <v>395</v>
      </c>
      <c r="AH29" s="4">
        <f t="shared" si="2"/>
        <v>27</v>
      </c>
      <c r="AI29" s="4">
        <f t="shared" si="2"/>
        <v>680</v>
      </c>
      <c r="AJ29" s="4">
        <f t="shared" si="2"/>
        <v>102</v>
      </c>
      <c r="AK29" s="4">
        <f t="shared" si="2"/>
        <v>100</v>
      </c>
      <c r="AL29" s="4">
        <f t="shared" si="2"/>
        <v>784</v>
      </c>
      <c r="AM29" s="4">
        <f t="shared" si="2"/>
        <v>94</v>
      </c>
      <c r="AN29" s="4">
        <f t="shared" si="2"/>
        <v>32</v>
      </c>
      <c r="AO29" s="4">
        <f t="shared" si="2"/>
        <v>32</v>
      </c>
      <c r="AP29" s="4">
        <f t="shared" si="2"/>
        <v>351</v>
      </c>
      <c r="AQ29" s="4">
        <f t="shared" si="2"/>
        <v>1246</v>
      </c>
      <c r="AR29" s="4">
        <f t="shared" si="2"/>
        <v>39</v>
      </c>
      <c r="AS29" s="4">
        <f t="shared" si="2"/>
        <v>25</v>
      </c>
      <c r="AT29" s="4">
        <f t="shared" si="2"/>
        <v>155</v>
      </c>
      <c r="AU29" s="4">
        <f t="shared" si="2"/>
        <v>903</v>
      </c>
      <c r="AV29" s="4">
        <f t="shared" si="2"/>
        <v>20</v>
      </c>
      <c r="AW29" s="4">
        <f t="shared" si="2"/>
        <v>175</v>
      </c>
      <c r="AX29" s="4">
        <f t="shared" si="2"/>
        <v>1</v>
      </c>
      <c r="AY29" s="7">
        <f>SUM(B29:AX29)</f>
        <v>13852</v>
      </c>
      <c r="AZ29" t="s">
        <v>120</v>
      </c>
      <c r="BA29">
        <v>13852</v>
      </c>
    </row>
    <row r="31" spans="1:53" x14ac:dyDescent="0.3">
      <c r="A31" s="10" t="s">
        <v>115</v>
      </c>
      <c r="B31" s="14" t="s">
        <v>12</v>
      </c>
      <c r="C31" s="14"/>
      <c r="D31" s="14"/>
      <c r="E31" s="14"/>
      <c r="F31" s="14"/>
      <c r="G31" s="14"/>
      <c r="H31" s="5"/>
    </row>
    <row r="32" spans="1:53" x14ac:dyDescent="0.3">
      <c r="A32" s="1" t="s">
        <v>11</v>
      </c>
      <c r="B32" s="1" t="s">
        <v>13</v>
      </c>
      <c r="C32" s="1" t="s">
        <v>14</v>
      </c>
      <c r="D32" s="1" t="s">
        <v>15</v>
      </c>
      <c r="E32" s="1" t="s">
        <v>16</v>
      </c>
      <c r="F32" s="1" t="s">
        <v>17</v>
      </c>
      <c r="G32" s="1" t="s">
        <v>18</v>
      </c>
      <c r="H32" s="5" t="s">
        <v>123</v>
      </c>
      <c r="J32" t="s">
        <v>114</v>
      </c>
      <c r="N32" s="10" t="s">
        <v>128</v>
      </c>
      <c r="O32" s="14" t="s">
        <v>1</v>
      </c>
      <c r="P32" s="14"/>
      <c r="Q32" s="14"/>
      <c r="R32" s="14"/>
      <c r="S32" s="14"/>
    </row>
    <row r="33" spans="1:22" x14ac:dyDescent="0.3">
      <c r="A33" s="1" t="s">
        <v>3</v>
      </c>
      <c r="B33" s="1">
        <v>0</v>
      </c>
      <c r="C33" s="1">
        <v>4315</v>
      </c>
      <c r="D33" s="1">
        <v>0</v>
      </c>
      <c r="E33" s="1">
        <v>0</v>
      </c>
      <c r="F33" s="1">
        <v>0</v>
      </c>
      <c r="G33" s="1">
        <v>0</v>
      </c>
      <c r="H33">
        <f>SUM(B33:G33)</f>
        <v>4315</v>
      </c>
      <c r="I33" t="s">
        <v>119</v>
      </c>
      <c r="J33">
        <v>13852</v>
      </c>
      <c r="N33" s="1" t="s">
        <v>0</v>
      </c>
      <c r="O33" s="1" t="s">
        <v>3</v>
      </c>
      <c r="P33" s="1" t="s">
        <v>4</v>
      </c>
      <c r="Q33" s="1" t="s">
        <v>5</v>
      </c>
      <c r="R33" s="1" t="s">
        <v>6</v>
      </c>
      <c r="S33" s="1" t="s">
        <v>7</v>
      </c>
      <c r="T33" s="12" t="s">
        <v>123</v>
      </c>
      <c r="V33" t="s">
        <v>114</v>
      </c>
    </row>
    <row r="34" spans="1:22" x14ac:dyDescent="0.3">
      <c r="A34" s="1" t="s">
        <v>4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>
        <f t="shared" ref="H34:H36" si="3">SUM(B34:G34)</f>
        <v>0</v>
      </c>
      <c r="I34" t="s">
        <v>119</v>
      </c>
      <c r="J34">
        <v>13852</v>
      </c>
      <c r="N34" s="13" t="s">
        <v>2</v>
      </c>
      <c r="O34" s="1">
        <v>4315</v>
      </c>
      <c r="P34" s="1">
        <v>0</v>
      </c>
      <c r="Q34" s="1">
        <v>378</v>
      </c>
      <c r="R34" s="1">
        <v>7871</v>
      </c>
      <c r="S34" s="1">
        <v>1288</v>
      </c>
      <c r="T34">
        <f>SUM(O34:S34)</f>
        <v>13852</v>
      </c>
      <c r="U34" t="s">
        <v>119</v>
      </c>
      <c r="V34">
        <v>13852</v>
      </c>
    </row>
    <row r="35" spans="1:22" x14ac:dyDescent="0.3">
      <c r="A35" s="1" t="s">
        <v>5</v>
      </c>
      <c r="B35" s="1">
        <v>378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>
        <f t="shared" si="3"/>
        <v>378</v>
      </c>
      <c r="I35" t="s">
        <v>119</v>
      </c>
      <c r="J35">
        <v>13852</v>
      </c>
      <c r="N35" s="12" t="s">
        <v>118</v>
      </c>
      <c r="O35">
        <f>SUM(O34)</f>
        <v>4315</v>
      </c>
      <c r="P35">
        <f t="shared" ref="P35:S35" si="4">SUM(P34)</f>
        <v>0</v>
      </c>
      <c r="Q35">
        <f t="shared" si="4"/>
        <v>378</v>
      </c>
      <c r="R35">
        <f t="shared" si="4"/>
        <v>7871</v>
      </c>
      <c r="S35">
        <f t="shared" si="4"/>
        <v>1288</v>
      </c>
    </row>
    <row r="36" spans="1:22" x14ac:dyDescent="0.3">
      <c r="A36" s="1" t="s">
        <v>6</v>
      </c>
      <c r="B36" s="1">
        <v>0</v>
      </c>
      <c r="C36" s="1">
        <v>0</v>
      </c>
      <c r="D36" s="1">
        <v>0</v>
      </c>
      <c r="E36" s="1">
        <v>0</v>
      </c>
      <c r="F36" s="1">
        <v>397</v>
      </c>
      <c r="G36" s="1">
        <v>7474</v>
      </c>
      <c r="H36">
        <f t="shared" si="3"/>
        <v>7871</v>
      </c>
      <c r="I36" t="s">
        <v>119</v>
      </c>
      <c r="J36">
        <v>13852</v>
      </c>
      <c r="O36" t="s">
        <v>121</v>
      </c>
      <c r="P36" t="s">
        <v>121</v>
      </c>
      <c r="Q36" t="s">
        <v>121</v>
      </c>
      <c r="R36" t="s">
        <v>121</v>
      </c>
      <c r="S36" t="s">
        <v>121</v>
      </c>
    </row>
    <row r="37" spans="1:22" x14ac:dyDescent="0.3">
      <c r="A37" s="1" t="s">
        <v>7</v>
      </c>
      <c r="B37" s="1">
        <v>0</v>
      </c>
      <c r="C37" s="1">
        <v>0</v>
      </c>
      <c r="D37" s="1">
        <v>180</v>
      </c>
      <c r="E37" s="1">
        <v>1108</v>
      </c>
      <c r="F37" s="1">
        <v>0</v>
      </c>
      <c r="G37" s="1">
        <v>0</v>
      </c>
      <c r="H37">
        <f>SUM(B37:G37)</f>
        <v>1288</v>
      </c>
      <c r="I37" t="s">
        <v>119</v>
      </c>
      <c r="J37">
        <v>13852</v>
      </c>
      <c r="N37" s="3"/>
      <c r="O37" s="2">
        <f>H33</f>
        <v>4315</v>
      </c>
      <c r="P37" s="2">
        <f>H34</f>
        <v>0</v>
      </c>
      <c r="Q37" s="2">
        <f>H35</f>
        <v>378</v>
      </c>
      <c r="R37" s="2">
        <f>H36</f>
        <v>7871</v>
      </c>
      <c r="S37" s="2">
        <f>H37</f>
        <v>1288</v>
      </c>
      <c r="T37">
        <f>SUM(O37:S37)</f>
        <v>13852</v>
      </c>
    </row>
    <row r="38" spans="1:22" x14ac:dyDescent="0.3">
      <c r="A38" s="1" t="s">
        <v>10</v>
      </c>
      <c r="B38" s="1">
        <f>SUM(B33:B37)</f>
        <v>378</v>
      </c>
      <c r="C38" s="1">
        <f t="shared" ref="C38" si="5">SUM(C33:C37)</f>
        <v>4315</v>
      </c>
      <c r="D38" s="1">
        <f t="shared" ref="D38" si="6">SUM(D33:D37)</f>
        <v>180</v>
      </c>
      <c r="E38" s="1">
        <f t="shared" ref="E38" si="7">SUM(E33:E37)</f>
        <v>1108</v>
      </c>
      <c r="F38" s="1">
        <f t="shared" ref="F38" si="8">SUM(F33:F37)</f>
        <v>397</v>
      </c>
      <c r="G38" s="1">
        <f t="shared" ref="G38" si="9">SUM(G33:G37)</f>
        <v>7474</v>
      </c>
      <c r="H38" s="12"/>
    </row>
    <row r="39" spans="1:22" x14ac:dyDescent="0.3">
      <c r="B39" t="s">
        <v>121</v>
      </c>
      <c r="C39" t="s">
        <v>121</v>
      </c>
      <c r="D39" t="s">
        <v>121</v>
      </c>
      <c r="E39" t="s">
        <v>121</v>
      </c>
      <c r="F39" t="s">
        <v>121</v>
      </c>
      <c r="G39" t="s">
        <v>121</v>
      </c>
    </row>
    <row r="40" spans="1:22" x14ac:dyDescent="0.3">
      <c r="B40">
        <f>AY23</f>
        <v>378</v>
      </c>
      <c r="C40">
        <f>AY24</f>
        <v>4315</v>
      </c>
      <c r="D40">
        <f>AY25</f>
        <v>180</v>
      </c>
      <c r="E40">
        <f>AY26</f>
        <v>1108</v>
      </c>
      <c r="F40">
        <f>AY27</f>
        <v>397</v>
      </c>
      <c r="G40">
        <f>AY28</f>
        <v>7474</v>
      </c>
      <c r="H40">
        <f>SUM(B40:G40)</f>
        <v>13852</v>
      </c>
    </row>
    <row r="44" spans="1:22" x14ac:dyDescent="0.3">
      <c r="A44" s="9" t="s">
        <v>117</v>
      </c>
      <c r="B44" s="8">
        <f>SUMPRODUCT(S4:BO9,B23:AX28)+SUMPRODUCT(J3:O7,B33:G37)+SUMPRODUCT(O34:S34,B5:F5)</f>
        <v>39185821.5</v>
      </c>
    </row>
  </sheetData>
  <mergeCells count="13">
    <mergeCell ref="A21:A22"/>
    <mergeCell ref="AY21:AY22"/>
    <mergeCell ref="BA21:BA22"/>
    <mergeCell ref="B1:F1"/>
    <mergeCell ref="A3:A5"/>
    <mergeCell ref="J1:O1"/>
    <mergeCell ref="S1:BO1"/>
    <mergeCell ref="O32:S32"/>
    <mergeCell ref="B31:G31"/>
    <mergeCell ref="J12:J13"/>
    <mergeCell ref="B12:G12"/>
    <mergeCell ref="R2:R3"/>
    <mergeCell ref="B20:AX2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Nunez</dc:creator>
  <cp:lastModifiedBy>Marco Nunez</cp:lastModifiedBy>
  <dcterms:created xsi:type="dcterms:W3CDTF">2022-03-01T23:20:58Z</dcterms:created>
  <dcterms:modified xsi:type="dcterms:W3CDTF">2022-03-04T03:11:59Z</dcterms:modified>
</cp:coreProperties>
</file>